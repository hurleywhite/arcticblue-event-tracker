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Events" sheetId="1" state="visible" r:id="rId3"/>
    <sheet name="Summary" sheetId="2" state="visible" r:id="rId4"/>
  </sheets>
  <definedNames>
    <definedName function="false" hidden="true" localSheetId="0" name="_xlnm._FilterDatabase" vbProcedure="false">'All Events'!$A$1:$AA$185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<sst xmlns="http://schemas.openxmlformats.org/spreadsheetml/2006/main" count="3962" uniqueCount="2011">
  <si>
    <t xml:space="preserve">Event #</t>
  </si>
  <si>
    <t xml:space="preserve">Event Name</t>
  </si>
  <si>
    <t xml:space="preserve">Status (derived from notes)</t>
  </si>
  <si>
    <t xml:space="preserve">Speaker(s) (derived from notes)</t>
  </si>
  <si>
    <t xml:space="preserve">Priority</t>
  </si>
  <si>
    <t xml:space="preserve">Pay-to-Play</t>
  </si>
  <si>
    <t xml:space="preserve">Urgent?</t>
  </si>
  <si>
    <t xml:space="preserve">Seed?</t>
  </si>
  <si>
    <t xml:space="preserve">Start Date</t>
  </si>
  <si>
    <t xml:space="preserve">End Date</t>
  </si>
  <si>
    <t xml:space="preserve">City</t>
  </si>
  <si>
    <t xml:space="preserve">Country</t>
  </si>
  <si>
    <t xml:space="preserve">Region</t>
  </si>
  <si>
    <t xml:space="preserve">Location (venue)</t>
  </si>
  <si>
    <t xml:space="preserve">Industry / Event Type</t>
  </si>
  <si>
    <t xml:space="preserve">Attendee Count</t>
  </si>
  <si>
    <t xml:space="preserve">Deadline</t>
  </si>
  <si>
    <t xml:space="preserve">Why It Fits ArcticBlue</t>
  </si>
  <si>
    <t xml:space="preserve">About</t>
  </si>
  <si>
    <t xml:space="preserve">Focus Areas</t>
  </si>
  <si>
    <t xml:space="preserve">Typical Attendees</t>
  </si>
  <si>
    <t xml:space="preserve">Speaking Route</t>
  </si>
  <si>
    <t xml:space="preserve">Contact Info</t>
  </si>
  <si>
    <t xml:space="preserve">POC Email</t>
  </si>
  <si>
    <t xml:space="preserve">Website URL</t>
  </si>
  <si>
    <t xml:space="preserve">Notes</t>
  </si>
  <si>
    <t xml:space="preserve">ID</t>
  </si>
  <si>
    <t xml:space="preserve">Chief AI Officer Summit Silicon Valley</t>
  </si>
  <si>
    <t xml:space="preserve">High</t>
  </si>
  <si>
    <t xml:space="preserve">Unknown</t>
  </si>
  <si>
    <t xml:space="preserve">No</t>
  </si>
  <si>
    <t xml:space="preserve">April 14, 2026</t>
  </si>
  <si>
    <t xml:space="preserve">San Jose</t>
  </si>
  <si>
    <t xml:space="preserve">USA</t>
  </si>
  <si>
    <t xml:space="preserve">Bay Area</t>
  </si>
  <si>
    <t xml:space="preserve">Doubletree by Hilton San Jose, San Jose, CA</t>
  </si>
  <si>
    <t xml:space="preserve">Enterprise</t>
  </si>
  <si>
    <t xml:space="preserve">Exact CAIO/enterprise AI leadership audience; day-before cluster with Agentic AI Summit SV on April 15 at the same hotel — two-event Bay Area trip.</t>
  </si>
  <si>
    <t xml:space="preserve">AIAI's Chief AI Officer Summit in Silicon Valley, co-located with Agentic AI Summit and GenAI Summit the following day. Single-day format of keynotes, panels, and networking for enterprise AI executives.</t>
  </si>
  <si>
    <t xml:space="preserve">Chief AI Officer role and organizational design; Enterprise AI governance frameworks; Agentic AI deployment at scale; AI ROI measurement and reporting; AI talent and operating model change</t>
  </si>
  <si>
    <t xml:space="preserve">Chief AI Officers, VP AI, CIOs, CDOs, enterprise AI leads at large enterprises and tech companies</t>
  </si>
  <si>
    <t xml:space="preserve">Request to speak: world.aiacceleratorinstitute.com/location/caiosiliconvalley/requesttospeak</t>
  </si>
  <si>
    <t xml:space="preserve">albert@pmmalliance.com (speaker/media); jordan@aiacceleratorinstitute.com (sponsor/partner)</t>
  </si>
  <si>
    <t xml:space="preserve">world.aiacceleratorinstitute.com/location/caiosiliconvalley</t>
  </si>
  <si>
    <t xml:space="preserve">43e8c921-5294-4b66-90ff-f0bc31d36c79</t>
  </si>
  <si>
    <t xml:space="preserve">Agentic AI Summit Silicon Valley</t>
  </si>
  <si>
    <t xml:space="preserve">April 15, 2026</t>
  </si>
  <si>
    <t xml:space="preserve">Dedicated agentic AI conference the day after CAIO Summit SV — same Doubletree venue, one-pass covers both days; directly aligned with ArcticBlue's core agentic workflow offering.</t>
  </si>
  <si>
    <t xml:space="preserve">Co-located with GenAI Summit SV at Doubletree by Hilton San Jose. Focused single-day summit on building and deploying AI agents in enterprise settings.</t>
  </si>
  <si>
    <t xml:space="preserve">Agentic AI architecture and workflow design; Enterprise AI agent deployment; Multi-agent orchestration; AI agent governance and safety; Agentic AI ROI in operations</t>
  </si>
  <si>
    <t xml:space="preserve">Head of AI, VP Engineering, Chief AI Officers, enterprise AI practitioners, AI product leaders</t>
  </si>
  <si>
    <t xml:space="preserve">Request to speak: world.aiacceleratorinstitute.com/location/agenticaisiliconvalley/requesttospeak</t>
  </si>
  <si>
    <t xml:space="preserve">albert@pmmalliance.com (speaker); jordan@aiacceleratorinstitute.com (sponsor)</t>
  </si>
  <si>
    <t xml:space="preserve">world.aiacceleratorinstitute.com/location/agenticaisiliconvalley</t>
  </si>
  <si>
    <t xml:space="preserve">0bd46818-738b-4141-bb69-f034809654d0</t>
  </si>
  <si>
    <t xml:space="preserve">CDM CDO/CAIO Chicago Summit</t>
  </si>
  <si>
    <t xml:space="preserve">Medium</t>
  </si>
  <si>
    <t xml:space="preserve">Yes</t>
  </si>
  <si>
    <t xml:space="preserve">April 16, 2026</t>
  </si>
  <si>
    <t xml:space="preserve">Chicago</t>
  </si>
  <si>
    <t xml:space="preserve">Midwest</t>
  </si>
  <si>
    <t xml:space="preserve">Chicago, IL</t>
  </si>
  <si>
    <t xml:space="preserve">50–75</t>
  </si>
  <si>
    <t xml:space="preserve">Boutique invite-only CDO/CAIO summit in Chicago; 50–75 C-suite data and AI executives; intimate format ideal for relationship-building with exact ICP.</t>
  </si>
  <si>
    <t xml:space="preserve">CDM Media's boutique executive summit series for Chief Data Officers and Chief AI Officers. Invite-only, small-group format (50–75 attendees) focused on peer-to-peer learning.</t>
  </si>
  <si>
    <t xml:space="preserve">CDO/CAIO strategic priorities; Enterprise AI governance and risk; AI data foundations; Operating model for data+AI orgs; AI ROI and business value</t>
  </si>
  <si>
    <t xml:space="preserve">Chief Data Officers, Chief AI Officers, SVP Data, VP Analytics at F500/F1000 companies</t>
  </si>
  <si>
    <t xml:space="preserve">No public CFP; speaking through sponsor/partner packages</t>
  </si>
  <si>
    <t xml:space="preserve">cdo.cdm.events (contact form on site)</t>
  </si>
  <si>
    <t xml:space="preserve">cdo.cdm.events</t>
  </si>
  <si>
    <t xml:space="preserve">7c24869d-4a59-4aae-8c92-dd885f14eede</t>
  </si>
  <si>
    <t xml:space="preserve">Google Cloud Next 2026</t>
  </si>
  <si>
    <t xml:space="preserve">April 22, 2026</t>
  </si>
  <si>
    <t xml:space="preserve">April 24, 2026</t>
  </si>
  <si>
    <t xml:space="preserve">Las Vegas</t>
  </si>
  <si>
    <t xml:space="preserve">Mandalay Bay, Las Vegas, NV</t>
  </si>
  <si>
    <t xml:space="preserve">30,000+</t>
  </si>
  <si>
    <t xml:space="preserve">Google's flagship enterprise cloud + AI event; 30,000+ enterprise buyers; heavy agentic AI, data foundations, and AI operations track — ArcticBlue's full positioning sweet spot.</t>
  </si>
  <si>
    <t xml:space="preserve">Google Cloud's premier annual enterprise conference at Mandalay Bay, featuring deep focus on generative AI, agentic workflows, AI-driven operations, and infrastructure for enterprise-scale AI deployment.</t>
  </si>
  <si>
    <t xml:space="preserve">Agentic AI and agent orchestration (Vertex AI, Gemini); Enterprise GenAI deployment and operations; Data and analytics for AI workloads; AI governance and responsible use; Hybrid cloud + AI infrastructure</t>
  </si>
  <si>
    <t xml:space="preserve">CIOs, CTOs, VP Engineering, Head of Data, enterprise architects, CDOs at mid-to-large enterprises; 30,000+ attendees</t>
  </si>
  <si>
    <t xml:space="preserve">Customer case studies: by Google Cloud team nomination. Partner/vendor speaking: via Google Cloud Partner Network</t>
  </si>
  <si>
    <t xml:space="preserve">cloud.google.com/next (partner contact form)</t>
  </si>
  <si>
    <t xml:space="preserve">cloud.google.com/next</t>
  </si>
  <si>
    <t xml:space="preserve">5ccab5fe-e426-4ab9-b91c-756bfb851e12</t>
  </si>
  <si>
    <t xml:space="preserve">Reuters Momentum AI New York 2026</t>
  </si>
  <si>
    <t xml:space="preserve">Submitted</t>
  </si>
  <si>
    <t xml:space="preserve">Thor</t>
  </si>
  <si>
    <t xml:space="preserve">April 27, 2026</t>
  </si>
  <si>
    <t xml:space="preserve">April 28, 2026</t>
  </si>
  <si>
    <t xml:space="preserve">New York</t>
  </si>
  <si>
    <t xml:space="preserve">NYC</t>
  </si>
  <si>
    <t xml:space="preserve">Convene, 117 West 46th Street, New York, NY</t>
  </si>
  <si>
    <t xml:space="preserve">~300</t>
  </si>
  <si>
    <t xml:space="preserve">URGENT — event 3 weeks from today</t>
  </si>
  <si>
    <t xml:space="preserve">Curated 300-person invite-only forum for CIOs, COOs, and CTOs driving AI transformation — the highest ICP density of any NYC event in the window.</t>
  </si>
  <si>
    <t xml:space="preserve">Reuters Events' premium invite-only enterprise AI forum at Convene. Built for the most senior US enterprise leaders navigating agentic AI deployment, operating model transformation, and AI ROI at scale.</t>
  </si>
  <si>
    <t xml:space="preserve">AI transformation at enterprise scale; Agentic AI for operations and automation; AI operating model and governance; Measurable AI ROI; Responsible enterprise AI</t>
  </si>
  <si>
    <t xml:space="preserve">CIO, COO, CTO, CAIO, VP of Digital Transformation, Head of AI at Fortune 500/1000 — invite-only, ~300 attendees</t>
  </si>
  <si>
    <t xml:space="preserve">Speaking by nomination (invite-only format; no public CFP). Contact/sponsor: 1.reutersevents.com/LP=39260</t>
  </si>
  <si>
    <t xml:space="preserve">1.reutersevents.com/LP=39260 (inquiry form)</t>
  </si>
  <si>
    <t xml:space="preserve">reutersevents.com</t>
  </si>
  <si>
    <t xml:space="preserve">Submitted. 
Speaking by nomination (invite-only format)/ Sponsorship only. 
Also, followed up personally through Thor's contact.</t>
  </si>
  <si>
    <t xml:space="preserve">977c2145-fa3a-488d-b140-f34f0eb2c7d3</t>
  </si>
  <si>
    <t xml:space="preserve">IBM Think 2026</t>
  </si>
  <si>
    <t xml:space="preserve">May 4, 2026</t>
  </si>
  <si>
    <t xml:space="preserve">May 7, 2026</t>
  </si>
  <si>
    <t xml:space="preserve">Boston</t>
  </si>
  <si>
    <t xml:space="preserve">Boston, MA</t>
  </si>
  <si>
    <t xml:space="preserve">15,000+</t>
  </si>
  <si>
    <t xml:space="preserve">IBM's flagship enterprise AI conference; 15,000+ enterprise customers at 'Where visionaries shape the next era of agentic AI' — direct ArcticBlue buyer territory.</t>
  </si>
  <si>
    <t xml:space="preserve">IBM's premier global enterprise technology conference, themed around agentic AI and enterprise transformation. Draws CIOs, CDOs, and enterprise operators buying AI platforms.</t>
  </si>
  <si>
    <t xml:space="preserve">Agentic AI for enterprise operations; Hybrid AI and data governance; AI automation and workflow transformation; Responsible AI deployment; AI-driven business outcomes</t>
  </si>
  <si>
    <t xml:space="preserve">CIOs, CDOs, COOs, IT leaders, enterprise architects, VP Digital at Fortune 500 companies; 15,000+ attendees</t>
  </si>
  <si>
    <t xml:space="preserve">Customer case study submissions: ibm.com/events/think. Partner/sponsor speaking: via IBM Ecosystem portal</t>
  </si>
  <si>
    <t xml:space="preserve">ibm.com/events/think</t>
  </si>
  <si>
    <t xml:space="preserve">86f5ef84-8779-484d-a482-8893a09824eb</t>
  </si>
  <si>
    <t xml:space="preserve">AI Agent Conference 2026</t>
  </si>
  <si>
    <t xml:space="preserve">May 5, 2026</t>
  </si>
  <si>
    <t xml:space="preserve">New York Hilton Midtown, New York, NY</t>
  </si>
  <si>
    <t xml:space="preserve">Dedicated enterprise AI agents conference in ArcticBlue's home base NYC; direct alignment with agentic workflow automation offering for enterprise buyers. Open CFP with no pay-to-play.</t>
  </si>
  <si>
    <t xml:space="preserve">Two-day conference at New York Hilton Midtown focused entirely on AI agents and agentic systems for enterprise use cases. Speakers from GitHub, Carta, Akamai, Datadog, CrewAI, Bloomberg, Vanguard, OpenAI, NVIDIA, Meta, and Microsoft.</t>
  </si>
  <si>
    <t xml:space="preserve">AI agent architecture and deployment; Multi-agent orchestration for enterprise; Agentic enterprises, engineering, and industries; AI agent governance and safety; ROI from enterprise AI agents</t>
  </si>
  <si>
    <t xml:space="preserve">Chief AI Officer, CTO, C-Suite, AI Engineers, Founders, Product Leaders, Investors</t>
  </si>
  <si>
    <t xml:space="preserve">Open CFP: agentconference.com (Call for Proposals section). No pay-to-play — speakers selected on merit.</t>
  </si>
  <si>
    <t xml:space="preserve">agentconference.com</t>
  </si>
  <si>
    <t xml:space="preserve">Submitted. *Thor's Topic: 'Fail or Scale: What's the Difference Between Experiments and Pilots?' (Aligned with 2026 theme: Agentic enterprises). 
CFP is open on a rolling basis — submitted ASAP to secure a spot.</t>
  </si>
  <si>
    <t xml:space="preserve">b8a42359-c3e3-4e7d-a8bd-1a23a83b86eb</t>
  </si>
  <si>
    <t xml:space="preserve">ServiceNow Knowledge 2026</t>
  </si>
  <si>
    <t xml:space="preserve">The Venetian Resort and Wynn Las Vegas, Las Vegas, NV</t>
  </si>
  <si>
    <t xml:space="preserve">20,000+</t>
  </si>
  <si>
    <t xml:space="preserve">20,000+ enterprise CIOs and COOs at 'AI at work' conference; agentic AI for business operations is the central theme — core ArcticBlue messaging territory.</t>
  </si>
  <si>
    <t xml:space="preserve">ServiceNow's annual flagship user conference. Centers on deploying agentic AI to automate enterprise workflows and operations at scale.</t>
  </si>
  <si>
    <t xml:space="preserve">Agentic AI for enterprise operations; AI-powered workflow automation; IT and business process transformation; AI governance and compliance in enterprise; Digital transformation at scale</t>
  </si>
  <si>
    <t xml:space="preserve">CIOs, COOs, VP of IT, enterprise operations leaders, CDOs, digital transformation executives; 20,000+ attendees</t>
  </si>
  <si>
    <t xml:space="preserve">Customer session submissions via ServiceNow Partner Network</t>
  </si>
  <si>
    <t xml:space="preserve">servicenow.com/events/knowledge</t>
  </si>
  <si>
    <t xml:space="preserve">a9a21ec6-4259-4fb7-8302-cee2ed359156</t>
  </si>
  <si>
    <t xml:space="preserve">Evanta New York CDAO Executive Summit</t>
  </si>
  <si>
    <t xml:space="preserve">May 6, 2026</t>
  </si>
  <si>
    <t xml:space="preserve">Convene 360 Madison, New York, NY</t>
  </si>
  <si>
    <t xml:space="preserve">75–150</t>
  </si>
  <si>
    <t xml:space="preserve">Gartner-run C-suite-only CDAO summit at Convene 360 Madison, NYC; 75–150 CDAOs from top US enterprises; no vendor floor — speaking = direct peer credibility.</t>
  </si>
  <si>
    <t xml:space="preserve">Exclusive one-day peer summit for New York-area Chief Data and Analytics Officers, produced by Gartner's Evanta community. Senior-only format, no vendor expo, fully peer-driven content.</t>
  </si>
  <si>
    <t xml:space="preserve">AI-driven data strategy; CDAO operating model and team structure; AI governance and data ethics; CDAO role evolution with AI; AI ROI and measurement frameworks</t>
  </si>
  <si>
    <t xml:space="preserve">Chief Data Officers, Chief Analytics Officers, Chief AI Officers, SVP Data at F500 companies in NYC metro; 75–150 attendees</t>
  </si>
  <si>
    <t xml:space="preserve">Governing Body (peer speaker) via evanta.com/cdao/new-york. Sponsor packages include speaking access.</t>
  </si>
  <si>
    <t xml:space="preserve">evanta.com/cdao/new-york</t>
  </si>
  <si>
    <t xml:space="preserve">cdecb4e3-998a-4cd1-b3ce-a2b97733f05f</t>
  </si>
  <si>
    <t xml:space="preserve">AI Strategy &amp; Governance Summit — Data Innovation Summit</t>
  </si>
  <si>
    <t xml:space="preserve">May 8, 2026</t>
  </si>
  <si>
    <t xml:space="preserve">Stockholm</t>
  </si>
  <si>
    <t xml:space="preserve">Sweden</t>
  </si>
  <si>
    <t xml:space="preserve">Europe</t>
  </si>
  <si>
    <t xml:space="preserve">Stockholm, Sweden</t>
  </si>
  <si>
    <t xml:space="preserve">Dedicated enterprise AI governance track at a major European data conference; good for ArcticBlue's European positioning alongside Zurich/London presence.</t>
  </si>
  <si>
    <t xml:space="preserve">Co-located within Data Innovation Summit 2026, this track focuses on enterprise AI strategy, responsible AI governance, and data foundations for AI-driven organizations across European enterprise.</t>
  </si>
  <si>
    <t xml:space="preserve">Enterprise AI governance frameworks; Responsible AI and EU AI Act compliance; Enterprise AI strategy; Data governance for AI systems; Operating model for AI at scale</t>
  </si>
  <si>
    <t xml:space="preserve">Chief Data Officers, Chief AI Officers, AI Governance leads, VP Analytics, data strategy leaders at European enterprises</t>
  </si>
  <si>
    <t xml:space="preserve">https://hyperight.com/nominate/</t>
  </si>
  <si>
    <t xml:space="preserve">datainnovationsummit.com</t>
  </si>
  <si>
    <t xml:space="preserve">b0e8286b-dd50-4138-bda8-cc6bf9a562df</t>
  </si>
  <si>
    <t xml:space="preserve">Gartner Data &amp; Analytics Summit London 2026</t>
  </si>
  <si>
    <t xml:space="preserve">May 11, 2026</t>
  </si>
  <si>
    <t xml:space="preserve">May 13, 2026</t>
  </si>
  <si>
    <t xml:space="preserve">London</t>
  </si>
  <si>
    <t xml:space="preserve">UK</t>
  </si>
  <si>
    <t xml:space="preserve">London, UK</t>
  </si>
  <si>
    <t xml:space="preserve">2,000+</t>
  </si>
  <si>
    <t xml:space="preserve">Premier annual event for CDAOs and Heads of AI in EMEA; 2,000+ enterprise data leaders at Gartner's flagship London conference — Thor's London footprint makes this a natural add.</t>
  </si>
  <si>
    <t xml:space="preserve">Gartner's EMEA flagship conference for data, analytics, and AI leaders. Covers AI-driven data operating models, CDAO strategy, responsible AI, and enterprise data foundations.</t>
  </si>
  <si>
    <t xml:space="preserve">AI-driven data and analytics strategy; CDAO operating model; Responsible AI and governance; AI adoption and ROI; Data infrastructure for enterprise AI</t>
  </si>
  <si>
    <t xml:space="preserve">Chief Data Officers, Chief Analytics Officers, Head of Data, VP Data &amp; Analytics, CAIO across EMEA enterprises; 2,000+ attendees</t>
  </si>
  <si>
    <t xml:space="preserve">Speaking primarily via sponsorship (Gartner events are analyst/sponsor-led)</t>
  </si>
  <si>
    <t xml:space="preserve">gartner.com/en/conferences/emea/data-analytics-uk</t>
  </si>
  <si>
    <t xml:space="preserve">f13925e3-c1a6-4d43-9737-9e311a0a21f1</t>
  </si>
  <si>
    <t xml:space="preserve">SaaStr AI Annual 2026</t>
  </si>
  <si>
    <t xml:space="preserve">Both</t>
  </si>
  <si>
    <t xml:space="preserve">May 12, 2026</t>
  </si>
  <si>
    <t xml:space="preserve">May 14, 2026</t>
  </si>
  <si>
    <t xml:space="preserve">San Mateo</t>
  </si>
  <si>
    <t xml:space="preserve">San Mateo County Events Center, San Mateo, CA</t>
  </si>
  <si>
    <t xml:space="preserve">10,000+</t>
  </si>
  <si>
    <t xml:space="preserve">Speaker application deadline may have passed; sponsor deadline open</t>
  </si>
  <si>
    <t xml:space="preserve">10,000+ B2B SaaS founders, CXOs, and enterprise AI buyers; 200+ sessions from operators who've deployed AI at scale — ArcticBlue's target enterprise customer ecosystem.</t>
  </si>
  <si>
    <t xml:space="preserve">SaaStr's 13th annual flagship conference, now rebranded as SaaStr AI Annual. Full enterprise AI and SaaS focus with tactical sessions from founders and operators on AI agent deployment and revenue impact.</t>
  </si>
  <si>
    <t xml:space="preserve">AI agents in enterprise SaaS products; Revenue and GTM transformation with AI; Enterprise AI adoption from operator perspective; Scaling AI-driven businesses; AI-driven product and go-to-market</t>
  </si>
  <si>
    <t xml:space="preserve">CEOs/Founders, CROs, VPs of Product, enterprise AI buyers, VCs, operators at B2B SaaS companies; 10,000+ attendees</t>
  </si>
  <si>
    <t xml:space="preserve">Speaker application: saastrannual.com (apply to speak section). 
Sponsor: saastrannual.com/sponsor</t>
  </si>
  <si>
    <t xml:space="preserve">saastrannual.com</t>
  </si>
  <si>
    <t xml:space="preserve">321da59e-7609-416d-8559-68976b1cab84</t>
  </si>
  <si>
    <t xml:space="preserve">Chief AI Officer Summit Dubai</t>
  </si>
  <si>
    <t xml:space="preserve">Dubai</t>
  </si>
  <si>
    <t xml:space="preserve">UAE</t>
  </si>
  <si>
    <t xml:space="preserve">Middle East</t>
  </si>
  <si>
    <t xml:space="preserve">Dubai, UAE</t>
  </si>
  <si>
    <t xml:space="preserve">CAIO-level audience in the GCC — directly aligned with ArcticBlue's active Middle East client base (Gulf Air, BBK, Tamkeen); strongest regional positioning event in the window.</t>
  </si>
  <si>
    <t xml:space="preserve">AIAI's Chief AI Officer Summit in Dubai, serving the rapidly growing enterprise AI leadership community across GCC and MENA. Co-located with additional AI summits on the same day.</t>
  </si>
  <si>
    <t xml:space="preserve">Chief AI Officer strategy in GCC enterprises; AI governance in regulated regional industries; Enterprise AI adoption in MENA; Government and enterprise AI initiatives; Agentic AI for Gulf enterprises</t>
  </si>
  <si>
    <t xml:space="preserve">Chief AI Officers, CIOs, digital transformation leaders, CDOs at GCC enterprises and government entities</t>
  </si>
  <si>
    <t xml:space="preserve">https://world.aiacceleratorinstitute.com/location/dubai/requesttospeak</t>
  </si>
  <si>
    <t xml:space="preserve">albert@pmmalliance.com (speaker/media); jordan@aiacceleratorinstitute.com (sponsor)</t>
  </si>
  <si>
    <t xml:space="preserve">world.aiacceleratorinstitute.com</t>
  </si>
  <si>
    <t xml:space="preserve">Submitted late, due to ongoing conflict concerns. Will likely be postponed to a new date.
Heavily Sponsored or Invite only, but does offer a free speaker route.</t>
  </si>
  <si>
    <t xml:space="preserve">23107d9f-2710-404b-bbd1-c65707cd5dba</t>
  </si>
  <si>
    <t xml:space="preserve">CDM CDO/CAIO San Francisco Summit</t>
  </si>
  <si>
    <t xml:space="preserve">San Francisco</t>
  </si>
  <si>
    <t xml:space="preserve">San Francisco, CA</t>
  </si>
  <si>
    <t xml:space="preserve">Boutique CDO/CAIO summit in SF; 50–75 C-suite data and AI executives; pairs naturally with same-day Chief AI Officer Summit Dubai cluster.</t>
  </si>
  <si>
    <t xml:space="preserve">CDM Media's invite-only Chief Data Officer/Chief AI Officer summit in San Francisco, focused on peer-to-peer learning among enterprise data and AI executives in a small-group format.</t>
  </si>
  <si>
    <t xml:space="preserve">AI strategy and governance for CDOs; Data infrastructure for enterprise AI; Chief AI Officer priorities; AI risk and compliance; Measuring AI value and ROI</t>
  </si>
  <si>
    <t xml:space="preserve">CDOs, CAIOs, VP Analytics at F500/F1000 companies; 50–75 attendees</t>
  </si>
  <si>
    <t xml:space="preserve">Sponsor packages include speaking</t>
  </si>
  <si>
    <t xml:space="preserve">cdo.cdm.events (contact form)</t>
  </si>
  <si>
    <t xml:space="preserve">5285594e-ad07-43d4-8128-192ad2809142</t>
  </si>
  <si>
    <t xml:space="preserve">MIT Sloan CIO Symposium 2026</t>
  </si>
  <si>
    <t xml:space="preserve">May 19, 2026</t>
  </si>
  <si>
    <t xml:space="preserve">Cambridge</t>
  </si>
  <si>
    <t xml:space="preserve">Royal Sonesta Hotel Cambridge, Cambridge, MA</t>
  </si>
  <si>
    <t xml:space="preserve">~500</t>
  </si>
  <si>
    <t xml:space="preserve">Unknown (committee-driven; reach out now)</t>
  </si>
  <si>
    <t xml:space="preserve">MIT's annual flagship CIO event; theme 'Human-AI Synergy: Redefining the Enterprise' — ArcticBlue's exact positioning; earned speaking possible for the right practitioner-credibility pitch.</t>
  </si>
  <si>
    <t xml:space="preserve">One-day in-person symposium at the Royal Sonesta Hotel Cambridge, run by MIT Sloan. Draws 500+ CIOs and digital transformation leaders across 22 curated sessions.</t>
  </si>
  <si>
    <t xml:space="preserve">AI and CIO leadership strategy; Human-AI collaboration in enterprise; Digital transformation at scale; AI governance and risk management; Operating model transformation</t>
  </si>
  <si>
    <t xml:space="preserve">CIOs, CDOs, CTOs, VP of IT, digital transformation officers from Fortune 500 companies; ~500 attendees</t>
  </si>
  <si>
    <t xml:space="preserve">Panel/speaker nominations via MIT organizing committee (no public open CFP)</t>
  </si>
  <si>
    <t xml:space="preserve">mitcio.com (contact form)</t>
  </si>
  <si>
    <t xml:space="preserve">mitcio.com</t>
  </si>
  <si>
    <t xml:space="preserve">0646e11a-8ab4-4d5f-b1a7-651fd2409b69</t>
  </si>
  <si>
    <t xml:space="preserve">Snowflake Summit 2026</t>
  </si>
  <si>
    <t xml:space="preserve">June 1, 2026</t>
  </si>
  <si>
    <t xml:space="preserve">June 4, 2026</t>
  </si>
  <si>
    <t xml:space="preserve">Moscone Center, San Francisco, CA</t>
  </si>
  <si>
    <t xml:space="preserve">Premier enterprise data + agentic AI conference at Moscone; audience of CDOs and data leaders building AI-ready data infrastructure — core data foundations buyer for ArcticBlue.</t>
  </si>
  <si>
    <t xml:space="preserve">Snowflake's flagship annual conference at Moscone Center, themed around enterprise agents and intelligence. 10,000+ enterprise data and AI practitioners and leaders.</t>
  </si>
  <si>
    <t xml:space="preserve">Data foundations for enterprise AI; AI agents (Snowflake Cortex AI); Enterprise data architecture; AI-driven analytics at scale; Cross-cloud data governance</t>
  </si>
  <si>
    <t xml:space="preserve">CDOs, Head of Data, Data Engineers, VP Analytics, enterprise data architects; 10,000+ attendees</t>
  </si>
  <si>
    <t xml:space="preserve">Customer case study submissions via Snowflake customer/partner portal</t>
  </si>
  <si>
    <t xml:space="preserve">snowflake.com/en/summit</t>
  </si>
  <si>
    <t xml:space="preserve">98e9a1f7-948c-4a8a-a770-17b13377c3ed</t>
  </si>
  <si>
    <t xml:space="preserve">Microsoft Build 2026</t>
  </si>
  <si>
    <t xml:space="preserve">June 2, 2026</t>
  </si>
  <si>
    <t xml:space="preserve">June 3, 2026</t>
  </si>
  <si>
    <t xml:space="preserve">Fort Mason, San Francisco, CA</t>
  </si>
  <si>
    <t xml:space="preserve">Likely passed (event June 2–3)</t>
  </si>
  <si>
    <t xml:space="preserve">Microsoft's flagship enterprise AI developer conference in SF; agentic AI (Copilot Studio, Semantic Kernel, AutoGen) deep-dive for enterprise architects and implementation leaders.</t>
  </si>
  <si>
    <t xml:space="preserve">'No-fluff' developer-first conference at Fort Mason, SF. Centers on real code and real AI systems — agentic workflows, Copilot enterprise deployment, and AI developer tooling.</t>
  </si>
  <si>
    <t xml:space="preserve">Agentic AI development (Copilot Studio, Semantic Kernel); Enterprise Copilot integration; AI-driven developer workflows; Multi-agent systems at enterprise scale; Enterprise AI infrastructure</t>
  </si>
  <si>
    <t xml:space="preserve">VP Engineering, CTOs, enterprise AI architects, AI developers, Head of AI at technology-forward enterprises</t>
  </si>
  <si>
    <t xml:space="preserve">Community/partner session submissions: build.microsoft.com. MVP/partner track via Microsoft Partner Network.</t>
  </si>
  <si>
    <t xml:space="preserve">build.microsoft.com</t>
  </si>
  <si>
    <t xml:space="preserve">49310e3d-f767-40e9-be14-929085c57e41</t>
  </si>
  <si>
    <t xml:space="preserve">Collision 2026</t>
  </si>
  <si>
    <t xml:space="preserve">Low</t>
  </si>
  <si>
    <t xml:space="preserve">June 6, 2026</t>
  </si>
  <si>
    <t xml:space="preserve">Toronto</t>
  </si>
  <si>
    <t xml:space="preserve">Canada</t>
  </si>
  <si>
    <t xml:space="preserve">Enercare Centre, Toronto, ON, Canada</t>
  </si>
  <si>
    <t xml:space="preserve">35,000+</t>
  </si>
  <si>
    <t xml:space="preserve">Web Summit's North American flagship tech conference; 35,000+ attendees including enterprise AI buyers, founders, and VCs; large audience at reasonable cost.</t>
  </si>
  <si>
    <t xml:space="preserve">Web Summit's North American edition at Enercare Centre in Toronto. Draws 35,000+ technology leaders, startups, and enterprise buyers across all verticals.</t>
  </si>
  <si>
    <t xml:space="preserve">Enterprise AI adoption; AI-driven business transformation; Startup-to-enterprise AI partnerships; Future of work with AI; AI investment and scaling</t>
  </si>
  <si>
    <t xml:space="preserve">CEOs, CTOs, VCs, enterprise technology leaders, startup founders, AI product leaders; broad mix of 35,000+</t>
  </si>
  <si>
    <t xml:space="preserve">Speaker applications: collisionconf.com/speakers. Sponsor: collisionconf.com/sponsor</t>
  </si>
  <si>
    <t xml:space="preserve">collisionconf.com</t>
  </si>
  <si>
    <t xml:space="preserve">586b9c14-49c3-4494-a951-6ebc5addcbd6</t>
  </si>
  <si>
    <t xml:space="preserve">Chief AI Officer Summit New York</t>
  </si>
  <si>
    <t xml:space="preserve">Convene 360 Madison Avenue, New York, NY</t>
  </si>
  <si>
    <t xml:space="preserve">ArcticBlue's exact buyer (Chief AI Officers) in their home base NYC; co-located with Agentic AI Summit NY and GenAI Summit NY at same venue — maximum ICP density.</t>
  </si>
  <si>
    <t xml:space="preserve">AIAI's Chief AI Officer Summit at Convene 360 Madison Avenue, co-located with Agentic AI Summit NY and GenAI Summit NY. One pass covers all co-located events.</t>
  </si>
  <si>
    <t xml:space="preserve">CAIO role and enterprise AI strategy; AI governance and organizational design; Agentic AI for enterprise operations; AI talent and operating model; AI performance measurement</t>
  </si>
  <si>
    <t xml:space="preserve">Chief AI Officers, VP AI, CIOs, CDOs, enterprise AI leads at major US corporations</t>
  </si>
  <si>
    <t xml:space="preserve">Request to speak: world.aiacceleratorinstitute.com/location/caionewyork/</t>
  </si>
  <si>
    <t xml:space="preserve">albert@pmmalliance.com (speaker/media); kyle.c@pmmalliance.com (NYC partnerships)</t>
  </si>
  <si>
    <t xml:space="preserve">world.aiacceleratorinstitute.com/location/caionewyork</t>
  </si>
  <si>
    <t xml:space="preserve">da41e672-026b-41f2-9052-3b41042ac6ca</t>
  </si>
  <si>
    <t xml:space="preserve">Agentic AI Summit New York</t>
  </si>
  <si>
    <t xml:space="preserve">Co-located with CAIO Summit NY at Convene 360 Madison — same venue, same day; dedicated agentic AI track directly aligned with ArcticBlue's sprint-delivery AI agent product.</t>
  </si>
  <si>
    <t xml:space="preserve">Co-located with Chief AI Officer Summit NY and GenAI Summit NY at Convene 360 Madison. One-pass access to all events. Dedicated to enterprise AI agent deployment, orchestration, and real-world agentic workflow applications.</t>
  </si>
  <si>
    <t xml:space="preserve">Enterprise AI agent deployment; Agentic workflow design and execution; Multi-agent systems for enterprise; AI agent governance and safety; Agentic AI ROI case studies</t>
  </si>
  <si>
    <t xml:space="preserve">Request to speak: world.aiacceleratorinstitute.com/location/agenticainewyork/requesttospeak</t>
  </si>
  <si>
    <t xml:space="preserve">albert@pmmalliance.com (speaker); kyle.c@pmmalliance.com (partnerships)</t>
  </si>
  <si>
    <t xml:space="preserve">world.aiacceleratorinstitute.com/location/agenticainewyork</t>
  </si>
  <si>
    <t xml:space="preserve">8042a1a6-299c-4f73-9329-41eaf2dd63ba</t>
  </si>
  <si>
    <t xml:space="preserve">CDM CDO/CAIO New York Summit</t>
  </si>
  <si>
    <t xml:space="preserve">New York, NY</t>
  </si>
  <si>
    <t xml:space="preserve">Boutique NYC CDO/CAIO summit on the same day as the AIAI NYC cluster; consider attending AIAI cluster (larger, same venue) and using CDM as a parallel relationship-building touchpoint.</t>
  </si>
  <si>
    <t xml:space="preserve">CDM Media's invite-only NYC CDO/CAIO summit for 50–75 senior data and AI executives. Peer-led format; no vendor floor, sponsor-driven speaking.</t>
  </si>
  <si>
    <t xml:space="preserve">Enterprise AI strategy; CDO and CAIO priorities; AI risk and governance; Data infrastructure transformation; AI talent and operating model</t>
  </si>
  <si>
    <t xml:space="preserve">Chief Data Officers, Chief AI Officers, SVP Analytics at F500/F1000; 50–75 attendees</t>
  </si>
  <si>
    <t xml:space="preserve">ad9322e7-6d24-4fcc-872c-64377b517245</t>
  </si>
  <si>
    <t xml:space="preserve">Fortune Brainstorm Tech 2026</t>
  </si>
  <si>
    <t xml:space="preserve">June 8, 2026</t>
  </si>
  <si>
    <t xml:space="preserve">June 10, 2026</t>
  </si>
  <si>
    <t xml:space="preserve">Aspen</t>
  </si>
  <si>
    <t xml:space="preserve">Other US</t>
  </si>
  <si>
    <t xml:space="preserve">The Aspen Meadows, Aspen, CO</t>
  </si>
  <si>
    <t xml:space="preserve">Enterprise; Tech</t>
  </si>
  <si>
    <t xml:space="preserve">300–400</t>
  </si>
  <si>
    <t xml:space="preserve">Ongoing (membership-based)</t>
  </si>
  <si>
    <t xml:space="preserve">Fortune's 25th-anniversary flagship tech summit; 300–400 top CEOs, founders, and VCs in Aspen; strong enterprise AI focus with candid off-the-record format.</t>
  </si>
  <si>
    <t xml:space="preserve">Fortune Magazine's annual invitation-only tech summit celebrating its 25th year. Convenes 300–400 top-tier CEOs, founders, VCs, and enterprise tech leaders for off-the-record discussion.</t>
  </si>
  <si>
    <t xml:space="preserve">Future of enterprise AI; AI strategy and business leadership; Technology and business transformation; Investment and innovation trends; AI policy and responsible innovation</t>
  </si>
  <si>
    <t xml:space="preserve">CEOs, Founders, VCs, C-suite from Fortune 500, tech luminaries; highly curated ~300–400 attendees</t>
  </si>
  <si>
    <t xml:space="preserve">By invitation/membership only (no open CFP)</t>
  </si>
  <si>
    <t xml:space="preserve">conferences.fortune.com (membership inquiry)</t>
  </si>
  <si>
    <t xml:space="preserve">conferences.fortune.com/event/brainstorm-tech-2026</t>
  </si>
  <si>
    <t xml:space="preserve">44c3231a-bb5d-4c6f-9ead-a799cff283b8</t>
  </si>
  <si>
    <t xml:space="preserve">SSON Agentic &amp; Applied AI for the Enterprise</t>
  </si>
  <si>
    <t xml:space="preserve">Atlanta</t>
  </si>
  <si>
    <t xml:space="preserve">Atlanta, GA</t>
  </si>
  <si>
    <t xml:space="preserve">Exact 'beyond AI pilots' framing directly matching ArcticBlue's sprint-based enterprise delivery model; audience of COOs, ops leaders, and shared services executives deploying AI at scale.</t>
  </si>
  <si>
    <t xml:space="preserve">SSON Network's three-day conference designed for enterprises moving AI from pilot to production. Focuses on shared services, GBS, and operations leaders implementing agentic AI across business functions.</t>
  </si>
  <si>
    <t xml:space="preserve">Moving AI from pilot to enterprise scale; Agentic AI in business operations and GBS; Operating model transformation with AI; AI in shared services and back-office; Measuring enterprise AI ROI</t>
  </si>
  <si>
    <t xml:space="preserve">COOs, Head of Shared Services, VP Operations, digital transformation leaders, CIOs at large enterprises</t>
  </si>
  <si>
    <t xml:space="preserve">Download sponsorship prospectus: ssonetwork.com/events-agentic-applied-ai-enterprise/downloads/</t>
  </si>
  <si>
    <t xml:space="preserve">SSON sponsorship team via prospectus</t>
  </si>
  <si>
    <t xml:space="preserve">ssonetwork.com</t>
  </si>
  <si>
    <t xml:space="preserve">c3ceb762-9d0a-4b42-b401-4601e1e4b3a6</t>
  </si>
  <si>
    <t xml:space="preserve">The AI Summit London 2026</t>
  </si>
  <si>
    <t xml:space="preserve">Thor; Jerome</t>
  </si>
  <si>
    <t xml:space="preserve">June 11, 2026</t>
  </si>
  <si>
    <t xml:space="preserve">Tobacco Dock, London, UK</t>
  </si>
  <si>
    <t xml:space="preserve">4,500+</t>
  </si>
  <si>
    <t xml:space="preserve">10th anniversary of Europe's #1 enterprise AI commercial event; 4,500+ enterprise AI buyers during London Tech Week — ideal London presence event for ArcticBlue's European expansion.</t>
  </si>
  <si>
    <t xml:space="preserve">The AI Summit London celebrates its 10th anniversary at Tobacco Dock during London Tech Week (June 9–13). Branded as 'where theory becomes profitable application' — 4,500+ commercial AI decision-makers.</t>
  </si>
  <si>
    <t xml:space="preserve">Commercial AI deployment and ROI; AI for enterprise operations; Agentic AI and automation; AI governance and ethics in enterprise; AI leadership and organizational change</t>
  </si>
  <si>
    <t xml:space="preserve">CIOs, CTOs, CDOs, Head of AI, VP Digital, enterprise AI practitioners; 4,500+ attendees across EMEA and global</t>
  </si>
  <si>
    <t xml:space="preserve">https://reg.theaisummit.com/london-submit-speaker</t>
  </si>
  <si>
    <t xml:space="preserve">sponsorship@closerstillmedia.com</t>
  </si>
  <si>
    <t xml:space="preserve">london.theaisummit.com</t>
  </si>
  <si>
    <t xml:space="preserve">Submitted Thor. (As part of The AI Summit Series: London, Singapore, NYC, Cape Town). Applied via speaker form. Speakers responsible for own travel and accommodation. 
Also submit Jerome in 2027.</t>
  </si>
  <si>
    <t xml:space="preserve">34ad1391-120e-4b8b-ba36-b8eb908cd551</t>
  </si>
  <si>
    <t xml:space="preserve">CDAO New York 2026 — Corinium</t>
  </si>
  <si>
    <t xml:space="preserve">Senior US CDAO audience in NYC; 'America's top data, analytics, and AI leaders' per Corinium — direct pipeline opportunity with exact ArcticBlue buyer in home city.</t>
  </si>
  <si>
    <t xml:space="preserve">Corinium Global Intelligence's annual CDAO New York event, bringing together senior US data and AI leaders for peer-driven discussion on enterprise AI strategy, analytics, and governance priorities.</t>
  </si>
  <si>
    <t xml:space="preserve">Enterprise AI and data strategy; CDAO priorities for 2026–27; AI governance and responsible use; Data infrastructure for AI; Agentic AI enterprise use cases</t>
  </si>
  <si>
    <t xml:space="preserve">Chief Data Officers, Chief Analytics Officers, Chief AI Officers, VP Data &amp; Analytics at US enterprise companies</t>
  </si>
  <si>
    <t xml:space="preserve">Speaker submission: cdao-ny.coriniumintelligence.com (speaker/contact page)</t>
  </si>
  <si>
    <t xml:space="preserve">cdao-ny.coriniumintelligence.com</t>
  </si>
  <si>
    <t xml:space="preserve">87d74765-ed3a-482f-a542-1b3324cd2ca2</t>
  </si>
  <si>
    <t xml:space="preserve">Databricks Data + AI Summit 2026</t>
  </si>
  <si>
    <t xml:space="preserve">June 15, 2026</t>
  </si>
  <si>
    <t xml:space="preserve">June 18, 2026</t>
  </si>
  <si>
    <t xml:space="preserve">World's largest data and AI conference at Moscone; 800+ sessions on LLM deployment, agentic AI, and enterprise data infrastructure — ArcticBlue's data-layer buyer audience.</t>
  </si>
  <si>
    <t xml:space="preserve">Databricks' flagship annual conference at Moscone Center. Global data and AI community gathering for deep technical and business sessions on AI, data engineering, and ML operations at enterprise scale.</t>
  </si>
  <si>
    <t xml:space="preserve">Enterprise AI and data lakehouse architecture; LLM and agentic AI in production; Data governance for AI; AI-driven analytics at enterprise scale; MLOps and AI operations</t>
  </si>
  <si>
    <t xml:space="preserve">CDOs, Head of Data, Data Engineers, AI Engineers, VP Analytics, enterprise data architects; large multi-industry enterprise audience</t>
  </si>
  <si>
    <t xml:space="preserve">Session submission portal: databricks.com/dataaisummit. Partner/customer case studies via Databricks partner ecosystem.</t>
  </si>
  <si>
    <t xml:space="preserve">databricks.com/dataaisummit</t>
  </si>
  <si>
    <t xml:space="preserve">baf42aa6-0e88-4064-8df3-ddba26e57d91</t>
  </si>
  <si>
    <t xml:space="preserve">VivaTech 2026</t>
  </si>
  <si>
    <t xml:space="preserve">June 17, 2026</t>
  </si>
  <si>
    <t xml:space="preserve">June 20, 2026</t>
  </si>
  <si>
    <t xml:space="preserve">Paris</t>
  </si>
  <si>
    <t xml:space="preserve">France</t>
  </si>
  <si>
    <t xml:space="preserve">Paris, France</t>
  </si>
  <si>
    <t xml:space="preserve">Tech; Enterprise</t>
  </si>
  <si>
    <t xml:space="preserve">90,000+</t>
  </si>
  <si>
    <t xml:space="preserve">Europe's largest tech event (90,000+ visitors) with enterprise AI and digital transformation central themes; natural cluster with Raise Summit (July 8–9 Paris) — one Paris trip covers both.</t>
  </si>
  <si>
    <t xml:space="preserve">Europe's largest tech event with enterprise AI and digital transformation central themes. Natural cluster with Raise Summit (July 8–9 Paris) — one Paris trip covers both.</t>
  </si>
  <si>
    <t xml:space="preserve">Enterprise AI and digital transformation; AI-driven innovation; Startup and enterprise AI partnerships; Future of work with AI; European AI ecosystem</t>
  </si>
  <si>
    <t xml:space="preserve">Tech leaders, enterprise decision-makers, startups, VCs, government officials; 90,000+ visitors</t>
  </si>
  <si>
    <t xml:space="preserve">Contact vivatech.com for speaking opportunities</t>
  </si>
  <si>
    <t xml:space="preserve">vivatech.com</t>
  </si>
  <si>
    <t xml:space="preserve">63e7d25b-fbd1-4253-8778-681acbeb895c</t>
  </si>
  <si>
    <t xml:space="preserve">Raise Summit 2026</t>
  </si>
  <si>
    <t xml:space="preserve">July 8, 2026</t>
  </si>
  <si>
    <t xml:space="preserve">July 9, 2026</t>
  </si>
  <si>
    <t xml:space="preserve">Seed event in window; clusters perfectly with VivaTech (Jun 17–20 Paris) — one Paris trip covers both events.</t>
  </si>
  <si>
    <t xml:space="preserve">Raise Summit is a premier European AI and tech conference bringing together enterprise leaders, investors, and innovators in Paris.</t>
  </si>
  <si>
    <t xml:space="preserve">Enterprise AI strategy; AI investment and innovation; European AI ecosystem; AI-driven business transformation; Future of enterprise technology</t>
  </si>
  <si>
    <t xml:space="preserve">Enterprise executives, investors, AI leaders, founders across European and global tech ecosystem</t>
  </si>
  <si>
    <t xml:space="preserve">Contact Raise Summit organizers for speaking opportunities</t>
  </si>
  <si>
    <t xml:space="preserve">raise.co</t>
  </si>
  <si>
    <t xml:space="preserve">https://www.raisesummit.com/</t>
  </si>
  <si>
    <t xml:space="preserve">c5551c3e-33da-4761-984e-55296bcd63db</t>
  </si>
  <si>
    <t xml:space="preserve">Ai4 2026</t>
  </si>
  <si>
    <t xml:space="preserve">August 4, 2026</t>
  </si>
  <si>
    <t xml:space="preserve">August 6, 2026</t>
  </si>
  <si>
    <t xml:space="preserve">Las Vegas, NV</t>
  </si>
  <si>
    <t xml:space="preserve">Large enterprise AI gathering in Las Vegas; strong enterprise buyer presence across industries; practical AI deployment focus aligns with ArcticBlue's positioning.</t>
  </si>
  <si>
    <t xml:space="preserve">Ai4 is one of the largest enterprise AI conferences, bringing together thousands of enterprise leaders, practitioners, and vendors focused on real-world AI deployment.</t>
  </si>
  <si>
    <t xml:space="preserve">Enterprise AI deployment; AI strategy and ROI; Agentic AI and automation; AI governance and risk; Industry-specific AI applications</t>
  </si>
  <si>
    <t xml:space="preserve">CIOs, CDOs, VP AI, enterprise AI practitioners, technology leaders across industries</t>
  </si>
  <si>
    <t xml:space="preserve">https://ai4.io/application-speaker/</t>
  </si>
  <si>
    <t xml:space="preserve">ai4.io</t>
  </si>
  <si>
    <t xml:space="preserve">IMPORTANT:
Our “earned” speaking spots are available to end-user type companies only (ex. hospitals, banks, retailers, etc). Anyone with an AI or tech-related product/service MUST apply to speak via our sponsor form.</t>
  </si>
  <si>
    <t xml:space="preserve">fad698ba-b80c-4ee5-99c9-0e2491bb97f5</t>
  </si>
  <si>
    <t xml:space="preserve">Leaders in AI Summit NYC</t>
  </si>
  <si>
    <t xml:space="preserve">April 21, 2026</t>
  </si>
  <si>
    <t xml:space="preserve">Marriott Marquis New York, New York, NY</t>
  </si>
  <si>
    <t xml:space="preserve">URGENT — event April 21–22 (apply immediately)</t>
  </si>
  <si>
    <t xml:space="preserve">Application-only C-Suite AI summit at Marriott Marquis NYC — exact ArcticBlue ICP (CEO/CIO/CAIO) in home city; covers enterprise AI governance, strategy, and ROI for decision-makers.</t>
  </si>
  <si>
    <t xml:space="preserve">Leaders In AI Summit NYC at Marriott Marquis New York. Application-only format for C-Suite executives, AI governance leaders, and enterprise decision-makers.</t>
  </si>
  <si>
    <t xml:space="preserve">Enterprise AI strategy and governance; C-Suite AI decision-making and ROI measurement; Agentic AI deployment for enterprise operations; AI governance and risk management; Human-AI collaboration frameworks at scale</t>
  </si>
  <si>
    <t xml:space="preserve">CEOs, CIOs, CTOs, Chief AI Officers, VP AI at Fortune 500 enterprises; application-only format (~300 attendees)</t>
  </si>
  <si>
    <t xml:space="preserve">Apply to speak: leadersinaisummit.com (speaker application on official site)</t>
  </si>
  <si>
    <t xml:space="preserve">institute@leadersinaisummit.com</t>
  </si>
  <si>
    <t xml:space="preserve">leadersinaisummit.com/nyc</t>
  </si>
  <si>
    <t xml:space="preserve">402fb6a2-6d7b-4adf-85d3-667f008e66ef</t>
  </si>
  <si>
    <t xml:space="preserve">Gartner Digital Workplace Summit London</t>
  </si>
  <si>
    <t xml:space="preserve">Gartner's EMEA digital workplace flagship during Thor's confirmed London trip — enterprise GenAI assistants and AI adoption sessions directly adjacent to ArcticBlue messaging.</t>
  </si>
  <si>
    <t xml:space="preserve">Gartner Digital Workplace Summit 2026 in London, UK. Premier Gartner conference for EMEA digital workplace leaders deploying GenAI tools and AI assistants.</t>
  </si>
  <si>
    <t xml:space="preserve">Enterprise AI assistants and GenAI at work; Digital employee experience (DEX) with AI tools; AI adoption and organizational change management; Enterprise AI search and knowledge management; AI governance in the digital workplace</t>
  </si>
  <si>
    <t xml:space="preserve">CIOs, VP Digital Workplace, Head of IT, CDOs at EMEA enterprises; Gartner analyst/client community</t>
  </si>
  <si>
    <t xml:space="preserve">Speaking via sponsorship: gartner.com/en/conferences/emea/digital-workplace-uk</t>
  </si>
  <si>
    <t xml:space="preserve">gartner.com/en/conferences/emea/digital-workplace-uk</t>
  </si>
  <si>
    <t xml:space="preserve">8f75246b-6006-452e-870d-8fd9923abb58</t>
  </si>
  <si>
    <t xml:space="preserve">CDAO Germany 2026 (Corinium)</t>
  </si>
  <si>
    <t xml:space="preserve">April 29, 2026</t>
  </si>
  <si>
    <t xml:space="preserve">Munich</t>
  </si>
  <si>
    <t xml:space="preserve">Germany</t>
  </si>
  <si>
    <t xml:space="preserve">Holiday Inn Munich City Centre, Munich, Germany</t>
  </si>
  <si>
    <t xml:space="preserve">URGENT — event April 28–29 (act immediately)</t>
  </si>
  <si>
    <t xml:space="preserve">Germany's 5th annual premier CDAO summit at Holiday Inn Munich City Centre — top DACH enterprise data/AI leadership; Corinium events have earned speaker track alongside sponsorship.</t>
  </si>
  <si>
    <t xml:space="preserve">Corinium's CDAO Germany 2026. Germany's leading 2-day summit for CDOs, Chief Analytics Officers, and data/AI leaders across DACH enterprises.</t>
  </si>
  <si>
    <t xml:space="preserve">Data strategy and AI foundations for DACH enterprises; CDAO operating model transformation; AI governance and EU AI Act compliance; Agentic AI enterprise use cases in the DACH market; Enterprise data architecture for AI at scale</t>
  </si>
  <si>
    <t xml:space="preserve">Chief Data Officers, Chief Analytics Officers, VP Data at German, Austrian, Swiss enterprises across financial services, manufacturing, and technology</t>
  </si>
  <si>
    <t xml:space="preserve">Speaker/sponsor: cdao-germany.coriniumintelligence.com</t>
  </si>
  <si>
    <t xml:space="preserve">coriniumintelligence.com/contact</t>
  </si>
  <si>
    <t xml:space="preserve">cdao-germany.coriniumintelligence.com</t>
  </si>
  <si>
    <t xml:space="preserve">6a847354-9a35-4488-88b8-2fde1be3134e</t>
  </si>
  <si>
    <t xml:space="preserve">Berkeley RDI Agentic AI Summit</t>
  </si>
  <si>
    <t xml:space="preserve">August 1, 2026</t>
  </si>
  <si>
    <t xml:space="preserve">August 2, 2026</t>
  </si>
  <si>
    <t xml:space="preserve">Berkeley</t>
  </si>
  <si>
    <t xml:space="preserve">UC Berkeley Campus, Berkeley, CA</t>
  </si>
  <si>
    <t xml:space="preserve">5,000+</t>
  </si>
  <si>
    <t xml:space="preserve">Rolling Review</t>
  </si>
  <si>
    <t xml:space="preserve">5,000+ expected in-person at UC Berkeley — North America's largest dedicated agentic AI gathering; open merit-based CFP actively live; exactly on-theme with ArcticBlue's sprint-delivery agentic AI positioning.</t>
  </si>
  <si>
    <t xml:space="preserve">Berkeley RDI Agentic AI Summit on the UC Berkeley campus. Building on 2025's 2,000 in-person + 40,000 virtual audience, targeting 5,000+ in-person for 2026.</t>
  </si>
  <si>
    <t xml:space="preserve">Agentic AI architecture and enterprise deployment; AI agent safety and governance frameworks; Enterprise agentic workflows: pilot to production; Multi-agent orchestration at scale; Responsible agentic AI in the enterprise</t>
  </si>
  <si>
    <t xml:space="preserve">Enterprise AI leaders, AI engineers, researchers, founders, investors; 5,000+ expected from tech companies, enterprises, and academia</t>
  </si>
  <si>
    <t xml:space="preserve">Open CFP (speaker proposal form): 
https://docs.google.com/forms/d/e/1FAIpQLSeXFL4UBPmmr9ofmHBaf39hlUbkxEC_OBpS_eD-pzAqV_eN6Q/viewform
 Rolling review by program committee.</t>
  </si>
  <si>
    <t xml:space="preserve">rdi.berkeley.edu/events/agentic-ai-summit</t>
  </si>
  <si>
    <t xml:space="preserve">*Topic C (and D) relevant to event</t>
  </si>
  <si>
    <t xml:space="preserve">092efe64-fdc6-43cd-90b8-5ed0049c1241</t>
  </si>
  <si>
    <t xml:space="preserve">Gartner Data &amp; Analytics Summit Orlando</t>
  </si>
  <si>
    <t xml:space="preserve">May 1, 2026</t>
  </si>
  <si>
    <t xml:space="preserve">Orlando</t>
  </si>
  <si>
    <t xml:space="preserve">Orlando, FL</t>
  </si>
  <si>
    <t xml:space="preserve">Gartner's largest NA data &amp; analytics event; strong CDO and data leader audience aligned with ArcticBlue's data foundations buyer profile.</t>
  </si>
  <si>
    <t xml:space="preserve">Gartner's flagship data &amp; analytics conference in North America. Premier gathering for data, analytics, and AI leaders driving enterprise data strategy.</t>
  </si>
  <si>
    <t xml:space="preserve">Enterprise data strategy; AI and analytics leadership; CDAO operating model; Responsible AI; Data-driven transformation</t>
  </si>
  <si>
    <t xml:space="preserve">CDOs, Chief Analytics Officers, Head of Data, VP Analytics, enterprise data leaders</t>
  </si>
  <si>
    <t xml:space="preserve">Speaking via sponsorship (Gartner vendor/partner model)</t>
  </si>
  <si>
    <t xml:space="preserve">gartner.com/en/conferences/na/data-analytics-us</t>
  </si>
  <si>
    <t xml:space="preserve">076452d1-4149-4678-8f2d-2c92c854d81e</t>
  </si>
  <si>
    <t xml:space="preserve">Agentic AI Exchange (IELA)</t>
  </si>
  <si>
    <t xml:space="preserve">April 30, 2026</t>
  </si>
  <si>
    <t xml:space="preserve">Denver</t>
  </si>
  <si>
    <t xml:space="preserve">Denver, CO</t>
  </si>
  <si>
    <t xml:space="preserve">URGENT — 3 weeks</t>
  </si>
  <si>
    <t xml:space="preserve">Dedicated agentic AI exchange for enterprise practitioners — directly aligned with ArcticBlue's sprint-delivery agentic workflow positioning.</t>
  </si>
  <si>
    <t xml:space="preserve">Intelligent Enterprise Leaders Alliance's Agentic AI Exchange, bringing together enterprise AI leaders focused on agentic systems deployment and real-world AI automation.</t>
  </si>
  <si>
    <t xml:space="preserve">Agentic AI deployment strategies; Enterprise AI agent orchestration; AI automation ROI; Agentic AI governance; Scaling AI agents in enterprise</t>
  </si>
  <si>
    <t xml:space="preserve">VP Engineering, Head of AI, enterprise AI practitioners, Chief AI Officers</t>
  </si>
  <si>
    <t xml:space="preserve">Apply via intelligententerpriseleaders.com/events-agentic-ai-exchange</t>
  </si>
  <si>
    <t xml:space="preserve">intelligententerpriseleaders.com</t>
  </si>
  <si>
    <t xml:space="preserve">intelligententerpriseleaders.com/events-agentic-ai-exchange</t>
  </si>
  <si>
    <t xml:space="preserve">c79bb352-06ed-43b8-8c97-6e187e021058</t>
  </si>
  <si>
    <t xml:space="preserve">Leaders in AI Summit Boston</t>
  </si>
  <si>
    <t xml:space="preserve">May 20, 2026</t>
  </si>
  <si>
    <t xml:space="preserve">Boston Marriott Copley Place, Boston, MA</t>
  </si>
  <si>
    <t xml:space="preserve">Application-only C-Suite AI summit the day after MIT Sloan CIO Symposium (May 19) at the same hotel — perfect Boston 2-day cluster; exclusively verified enterprise decision-makers.</t>
  </si>
  <si>
    <t xml:space="preserve">Leaders in AI Summit Series' Boston edition at Boston Marriott Copley Place. Application-only admission for C-Suite executives and AI decision-makers.</t>
  </si>
  <si>
    <t xml:space="preserve">AI transformation for enterprise executives; Agentic AI strategy and implementation; AI ROI and business value realization; AI governance and ethics; Future of work with AI</t>
  </si>
  <si>
    <t xml:space="preserve">CEO, CIO, CDO, CAIO, VP-level AI decision-makers; application-only, exclusively enterprise decision-makers</t>
  </si>
  <si>
    <t xml:space="preserve">Apply to speak: leadersinaisummit.com/boston (application-based speaker form)</t>
  </si>
  <si>
    <t xml:space="preserve">leadersinaisummit.com/boston</t>
  </si>
  <si>
    <t xml:space="preserve">7f120622-593a-459b-a427-1497202b169f</t>
  </si>
  <si>
    <t xml:space="preserve">IDC AI &amp; Data Summit San Francisco</t>
  </si>
  <si>
    <t xml:space="preserve">~80–100</t>
  </si>
  <si>
    <t xml:space="preserve">IDC's AI &amp; Data Summit in SF on June 4 — clusters perfectly with Snowflake Summit (Jun 1–4); CIO/CDO audience on building AI-driven enterprise value.</t>
  </si>
  <si>
    <t xml:space="preserve">IDC's one-day AI &amp; Data Summit in San Francisco. Theme: 'Building Intelligence that Creates Real Value.' Co-located in SF during the same week as Snowflake Summit.</t>
  </si>
  <si>
    <t xml:space="preserve">AI strategy for enterprise data leaders; Data infrastructure for AI at scale; CIO/CDO roadmap for enterprise AI; Agentic AI and intelligent automation; Measurable business value from AI</t>
  </si>
  <si>
    <t xml:space="preserve">CIOs, CDOs, SVP Data, VP IT, enterprise technology leaders; ~80–100 senior executives from F500 and global firms</t>
  </si>
  <si>
    <t xml:space="preserve">Partner/sponsor: event.idc.com/event/ai-data-summit-san-francisco/</t>
  </si>
  <si>
    <t xml:space="preserve">event.idc.com/event/ai-data-summit-san-francisco/</t>
  </si>
  <si>
    <t xml:space="preserve">68c8f648-2d9e-4bbe-bb81-d847f0697dc7</t>
  </si>
  <si>
    <t xml:space="preserve">Chief AI Officer Summit NY (Re-Work / Corinium)</t>
  </si>
  <si>
    <t xml:space="preserve">June 9, 2026</t>
  </si>
  <si>
    <t xml:space="preserve">Hoboken</t>
  </si>
  <si>
    <t xml:space="preserve">W Hoboken, Hoboken, NJ</t>
  </si>
  <si>
    <t xml:space="preserve">Re-Work and Corinium's East Coast dedicated CAIO Summit the day before CDAO NY (Jun 10) — exact ArcticBlue ICP, boutique 1-day format at W Hoboken, strong earned speaker track.</t>
  </si>
  <si>
    <t xml:space="preserve">Re-Work and Corinium Global Intelligence's Chief AI Officer Summit at W Hoboken, New Jersey. Practical sessions on AI strategy, governance, and enterprise impact for Chief AI Officers.</t>
  </si>
  <si>
    <t xml:space="preserve">Chief AI Officer strategy and org design; Enterprise AI governance and risk; Agentic AI deployment at enterprise scale; AI transformation ROI; AI ethics and responsible deployment</t>
  </si>
  <si>
    <t xml:space="preserve">Chief AI Officers, VP AI Strategy, Head of Enterprise AI, CDOs, CIOs at large enterprises</t>
  </si>
  <si>
    <t xml:space="preserve">Speaker request: caio-ny.re-work.co. Sponsor/partner: coriniumintelligence.com</t>
  </si>
  <si>
    <t xml:space="preserve">caio-ny.re-work.co</t>
  </si>
  <si>
    <t xml:space="preserve">50bc624f-5939-438a-96ba-d6ac128c7bf3</t>
  </si>
  <si>
    <t xml:space="preserve">Responsible AI Summit North America</t>
  </si>
  <si>
    <t xml:space="preserve">June 23, 2026</t>
  </si>
  <si>
    <t xml:space="preserve">June 24, 2026</t>
  </si>
  <si>
    <t xml:space="preserve">DoubleTree by Hilton Hotel Chicago - Magnificent Mile, Chicago, IL</t>
  </si>
  <si>
    <t xml:space="preserve">North America's premier closed-door forum for enterprise leaders operationalizing responsible AI — AI governance, risk, and compliance audience is a direct ArcticBlue-adjacent buyer profile.</t>
  </si>
  <si>
    <t xml:space="preserve">AIDA Network's flagship Responsible AI Summit NA. Two-day summit for enterprise AI leaders building ethical AI systems, governance frameworks, and compliant deployment pipelines.</t>
  </si>
  <si>
    <t xml:space="preserve">Responsible AI governance and risk management; EU AI Act and US AI policy compliance; Ethical AI deployment frameworks; AI bias, fairness, and transparency; Operationalizing responsible AI at enterprise scale</t>
  </si>
  <si>
    <t xml:space="preserve">Chief AI Officers, Chief Risk Officers, VP AI Ethics/Governance, Head of Responsible AI at F500; closed-door boutique format</t>
  </si>
  <si>
    <t xml:space="preserve">Sponsor and curated industry invite only.</t>
  </si>
  <si>
    <t xml:space="preserve">aidataanalytics.network/events-responsible-ai-summit-na</t>
  </si>
  <si>
    <t xml:space="preserve">10ec2099-9269-4a00-8e43-116baa095ca0</t>
  </si>
  <si>
    <t xml:space="preserve">ALIGN AI Executive Summit NYC</t>
  </si>
  <si>
    <t xml:space="preserve">June 25, 2026</t>
  </si>
  <si>
    <t xml:space="preserve">City Winery NYC, Pier 57, Chelsea, New York, NY</t>
  </si>
  <si>
    <t xml:space="preserve">200+</t>
  </si>
  <si>
    <t xml:space="preserve">Rolling Deadline</t>
  </si>
  <si>
    <t xml:space="preserve">Free-application summit for 200+ F500 data/AI leaders at City Winery NYC — one of the only fully merit-based earned speaking slots in the NYC June cluster.</t>
  </si>
  <si>
    <t xml:space="preserve">Data Science Connect's ALIGN AI Executive Summit at City Winery NYC. 200+ senior data and AI executives from Fortune 500 companies. Free qualified-attendee passes.</t>
  </si>
  <si>
    <t xml:space="preserve">Enterprise AI strategy and transformation; Data and AI governance for F500; Agentic AI adoption at enterprise scale; AI ROI and operating model change; Data foundation for AI programs</t>
  </si>
  <si>
    <t xml:space="preserve">Chief Data Officers, Chief AI Officers, VP Data, Head of Analytics at Fortune 500 and global enterprises; 200+ verified senior leaders</t>
  </si>
  <si>
    <t xml:space="preserve">Apply to speak: https://datasciconnect.com/events/speaker-interest-form/
One submission covers multiple events:
ALIGN AI Executive Summit - ATL (5.20.2026)
ALIGN AI Executive Summit - NYC (6.25.2026)
ALIGN AI Executive Summit - CHI (7.15.2026)
ALIGN AI Executive Summit - SF (8.19.2026)
The AI Enterprise Conference - NYC (9.2.2026)
COLLIDE Data+AI Conference - ATL (10.1.2026)
ALIGN AI Executive Summit - DAL (10.21.2026)
AI for Enterprise Webinar Series
all event descriptions combined here: 
https://datasciconnect.com/events/</t>
  </si>
  <si>
    <t xml:space="preserve">datasciconnect.com/events/align-ai-summit-nyc/</t>
  </si>
  <si>
    <t xml:space="preserve">2da6263d-ac15-413e-88f6-6bac155b1450</t>
  </si>
  <si>
    <t xml:space="preserve">CDOIQ Symposium 2026 — 20th Annual</t>
  </si>
  <si>
    <t xml:space="preserve">July 21, 2026</t>
  </si>
  <si>
    <t xml:space="preserve">July 23, 2026</t>
  </si>
  <si>
    <t xml:space="preserve">Hyatt Regency Cambridge, Cambridge, MA</t>
  </si>
  <si>
    <t xml:space="preserve">2,250</t>
  </si>
  <si>
    <t xml:space="preserve">The 20th Annual CDOIQ Symposium — the world's premier CDO/data leadership gathering; 2,250 expected attendees, 135 speakers, and an open Request to Participate route.</t>
  </si>
  <si>
    <t xml:space="preserve">The Chief Data Officer &amp; Information Quality (CDOIQ) Symposium. 20th anniversary edition. The definitive global gathering for Chief Data Officers, data leaders, and AI practitioners.</t>
  </si>
  <si>
    <t xml:space="preserve">Enterprise data strategy and governance; AI data foundations and quality; Chief Data Officer leadership and operating model; AI governance and responsible data use; Agentic AI and data pipelines</t>
  </si>
  <si>
    <t xml:space="preserve">Chief Data Officers, Chief Data &amp; Analytics Officers, SVP Data, VP Data Architecture, senior data leaders from global enterprises; 2,250 expected</t>
  </si>
  <si>
    <t xml:space="preserve">Request to participate: no submission page, mostly sponsor/curated invite only but might have SOME open speaking if reach out to: team@cdoiq.org</t>
  </si>
  <si>
    <t xml:space="preserve">team@cdoiq.org</t>
  </si>
  <si>
    <t xml:space="preserve">2026cdoiq.org</t>
  </si>
  <si>
    <t xml:space="preserve">1ff316fb-9a01-46a5-b7cd-6f9a1d7fc134</t>
  </si>
  <si>
    <t xml:space="preserve">ALIGN AI Executive Summit Chicago</t>
  </si>
  <si>
    <t xml:space="preserve">July 15, 2026</t>
  </si>
  <si>
    <t xml:space="preserve">City Winery Chicago, West Loop, Chicago, IL</t>
  </si>
  <si>
    <t xml:space="preserve">150+</t>
  </si>
  <si>
    <t xml:space="preserve">Mid-summer Midwest enterprise AI summit for 150+ senior data/AI leaders — earned speaking route, deep Chicago enterprise buyer pool (finance, healthcare, professional services).</t>
  </si>
  <si>
    <t xml:space="preserve">Data Science Connect's ALIGN AI Executive Summit in Chicago. 150+ senior data and AI leaders for a full-day executive forum on AI strategy, real-world use cases, and deployment insights.</t>
  </si>
  <si>
    <t xml:space="preserve">Enterprise AI strategy and deployment; Agentic AI workflows and governance; AI ROI and operating model transformation; Data foundations for AI programs; Enterprise AI case studies</t>
  </si>
  <si>
    <t xml:space="preserve">Chief Data Officers, VP Data, Head of AI at Midwest and national F500 enterprises; 150+ senior leaders</t>
  </si>
  <si>
    <t xml:space="preserve">datasciconnect.com/events/align-ai-executive-summit-chicago/</t>
  </si>
  <si>
    <t xml:space="preserve">This one form covers multiple events:
https://datasciconnect.com/events/speaker-interest-form/
ALIGN AI Executive Summit - ATL (5.20.2026)
ALIGN AI Executive Summit - NYC (6.25.2026)
ALIGN AI Executive Summit - CHI (7.15.2026)
ALIGN AI Executive Summit - SF (8.19.2026)
The AI Enterprise Conference - NYC (9.2.2026)
COLLIDE Data+AI Conference - ATL (10.1.2026)
ALIGN AI Executive Summit - DAL (10.21.2026)
AI for Enterprise Webinar Series</t>
  </si>
  <si>
    <t xml:space="preserve">65894b4c-aef3-4d14-9533-4cb5957a3ce6</t>
  </si>
  <si>
    <t xml:space="preserve">ALIGN AI Executive Summit San Francisco</t>
  </si>
  <si>
    <t xml:space="preserve">August 19, 2026</t>
  </si>
  <si>
    <t xml:space="preserve">McCormick &amp; Kuleto's, Ghirardelli Square, San Francisco, CA</t>
  </si>
  <si>
    <t xml:space="preserve">Late-summer Bay Area enterprise AI summit at Ghirardelli Square — 150+ senior F500 data/AI leaders with merit-based speaking route; strong SF enterprise buyer density.</t>
  </si>
  <si>
    <t xml:space="preserve">Data Science Connect's ALIGN AI Executive Summit at McCormick &amp; Kuleto's, Ghirardelli Square, San Francisco. 150+ senior data and AI leaders from West Coast and national enterprises.</t>
  </si>
  <si>
    <t xml:space="preserve">Enterprise AI deployment and governance; Agentic AI for enterprise operations; Data and AI strategy for West Coast enterprises; AI ROI and measurement frameworks; AI operating model transformation</t>
  </si>
  <si>
    <t xml:space="preserve">Chief Data Officers, VP AI, Head of Data Science at West Coast and national F500 enterprises; 150+ senior leaders</t>
  </si>
  <si>
    <t xml:space="preserve">datasciconnect.com/events/align-ai-executive-summit-san-francisco/</t>
  </si>
  <si>
    <t xml:space="preserve">Apply to speak: https://datasciconnect.com/events/speaker-interest-form/
One submission covers multiple events:
ALIGN AI Executive Summit - ATL (5.20.2026)
ALIGN AI Executive Summit - NYC (6.25.2026)
ALIGN AI Executive Summit - CHI (7.15.2026)
ALIGN AI Executive Summit - SF (8.19.2026)
The AI Enterprise Conference - NYC (9.2.2026)
COLLIDE Data+AI Conference - ATL (10.1.2026)
ALIGN AI Executive Summit - DAL (10.21.2026)
AI for Enterprise Webinar Series</t>
  </si>
  <si>
    <t xml:space="preserve">f706229f-56f8-4e87-8242-b526d3c5256b</t>
  </si>
  <si>
    <t xml:space="preserve">Reuters Momentum AI London 2026</t>
  </si>
  <si>
    <t xml:space="preserve">On list</t>
  </si>
  <si>
    <t xml:space="preserve">Jerome</t>
  </si>
  <si>
    <t xml:space="preserve">June 29, 2026</t>
  </si>
  <si>
    <t xml:space="preserve">June 30, 2026</t>
  </si>
  <si>
    <t xml:space="preserve">Convene 155 Bishopsgate, London, UK</t>
  </si>
  <si>
    <t xml:space="preserve">Reuters' premium enterprise AI forum in London — complements The AI Summit London cluster for ArcticBlue's European expansion.</t>
  </si>
  <si>
    <t xml:space="preserve">Reuters Events' enterprise AI forum in London, focusing on AI transformation, agentic AI, and enterprise AI ROI for senior European and global leaders.</t>
  </si>
  <si>
    <t xml:space="preserve">AI transformation at enterprise scale; Agentic AI for European enterprises; AI operating model and governance; Measurable AI ROI; Responsible enterprise AI</t>
  </si>
  <si>
    <t xml:space="preserve">CIO, COO, CTO, CAIO, VP of Digital Transformation, Head of AI at Fortune 500/1000</t>
  </si>
  <si>
    <t xml:space="preserve">Partner page: events.reutersevents.com/momentum/london/partner-with-us
No open speaker application
Entry is invite + editorial selection</t>
  </si>
  <si>
    <t xml:space="preserve">events.reutersevents.com/momentum/london</t>
  </si>
  <si>
    <t xml:space="preserve">Jerome added to list.</t>
  </si>
  <si>
    <t xml:space="preserve">ff8d40ed-7069-493b-ba61-5532ec660be9</t>
  </si>
  <si>
    <t xml:space="preserve">AI Risk Summit 2026</t>
  </si>
  <si>
    <t xml:space="preserve">August 11, 2026</t>
  </si>
  <si>
    <t xml:space="preserve">August 12, 2026</t>
  </si>
  <si>
    <t xml:space="preserve">Half Moon Bay</t>
  </si>
  <si>
    <t xml:space="preserve">Ritz-Carlton, Half Moon Bay, CA</t>
  </si>
  <si>
    <t xml:space="preserve">May 29, 2026</t>
  </si>
  <si>
    <t xml:space="preserve">Open merit-based CFP via Sessionize — one of the only genuinely earned speaking tracks in the late-summer window; AI governance/risk audience directly adjacent to ArcticBlue buyers.</t>
  </si>
  <si>
    <t xml:space="preserve">AI Risk Summit 2026 at Ritz-Carlton Half Moon Bay. Premier gathering for enterprise leaders addressing AI risk, safety, and governance.</t>
  </si>
  <si>
    <t xml:space="preserve">AI risk management and mitigation; Enterprise AI safety frameworks; AI governance and compliance; Responsible AI deployment; AI regulatory landscape</t>
  </si>
  <si>
    <t xml:space="preserve">Chief Risk Officers, Chief AI Officers, AI governance leads, enterprise security and compliance leaders</t>
  </si>
  <si>
    <t xml:space="preserve">OPEN CFP via Sessionize: sessionize.com/ai-risk-summit-2026</t>
  </si>
  <si>
    <t xml:space="preserve">airisksummit.com</t>
  </si>
  <si>
    <t xml:space="preserve">*Topic D is relevant to their event.</t>
  </si>
  <si>
    <t xml:space="preserve">40ff0ff8-f1e1-461d-9e2d-2fb65c793022</t>
  </si>
  <si>
    <t xml:space="preserve">VB Transform 2026</t>
  </si>
  <si>
    <t xml:space="preserve">July 14, 2026</t>
  </si>
  <si>
    <t xml:space="preserve">Menlo Park</t>
  </si>
  <si>
    <t xml:space="preserve">Hotel Nia, Menlo Park, CA</t>
  </si>
  <si>
    <t xml:space="preserve">Speaking: March 15, 2026 + Innovation Showcase: June 1, 2026</t>
  </si>
  <si>
    <t xml:space="preserve">VentureBeat's enterprise AI conference with open Innovation Showcase application — strong earned speaking opportunity, influential enterprise AI media platform for ArcticBlue brand building.</t>
  </si>
  <si>
    <t xml:space="preserve">VentureBeat's flagship enterprise AI conference at Hotel Nia, Menlo Park. Focused on real-world enterprise AI transformation and deployment.</t>
  </si>
  <si>
    <t xml:space="preserve">Enterprise AI transformation; AI deployment at scale; AI strategy and ROI; Agentic AI in production; AI-driven business outcomes</t>
  </si>
  <si>
    <t xml:space="preserve">Enterprise AI leaders, CTOs, CDOs, VP Engineering, AI practitioners from large technology and enterprise companies</t>
  </si>
  <si>
    <t xml:space="preserve">Innovation Showcase Application: forms.gle/mtTHC7Dc81LRG1bH8 
(deadline June 1, 2026). 
General speaker app: r39crwmcu9m.typeform.com/to/vM6l9Nvi</t>
  </si>
  <si>
    <t xml:space="preserve">venturebeat.com/vbtransform2026</t>
  </si>
  <si>
    <t xml:space="preserve">Submitted after the deadline as they still had the application open.
*Topic C heavily relevant to the event.</t>
  </si>
  <si>
    <t xml:space="preserve">1fa9dea8-fbbb-4650-95ca-a2e4078b0590</t>
  </si>
  <si>
    <t xml:space="preserve">ISG NXT.AI 2026</t>
  </si>
  <si>
    <t xml:space="preserve">August 9, 2026</t>
  </si>
  <si>
    <t xml:space="preserve">Nashville</t>
  </si>
  <si>
    <t xml:space="preserve">Embassy Suites by Hilton Nashville Downtown, Nashville, TN</t>
  </si>
  <si>
    <t xml:space="preserve">ISG's influential enterprise AI gathering — ISG analyst relationships provide strong third-party validation for ArcticBlue's agentic AI positioning.</t>
  </si>
  <si>
    <t xml:space="preserve">ISG NXT.AI is ISG's flagship enterprise AI event, bringing together enterprise technology leaders focused on next-generation AI strategy and deployment.</t>
  </si>
  <si>
    <t xml:space="preserve">Enterprise AI strategy and roadmap; Agentic AI deployment; AI governance and risk; AI-driven operations transformation; Future of enterprise technology</t>
  </si>
  <si>
    <t xml:space="preserve">CIOs, CTOs, enterprise technology leaders, AI practitioners from ISG's global enterprise client base</t>
  </si>
  <si>
    <t xml:space="preserve">Curated/invited or Sponsor: isg-one.com/contact-us</t>
  </si>
  <si>
    <t xml:space="preserve">isg-nxt.ai</t>
  </si>
  <si>
    <t xml:space="preserve">6cc4f3b5-7aec-47e4-bb76-bad69375d0a0</t>
  </si>
  <si>
    <t xml:space="preserve">Leaders in AI Summit Nashville</t>
  </si>
  <si>
    <t xml:space="preserve">August 18, 2026</t>
  </si>
  <si>
    <t xml:space="preserve">Canopy by Hilton Nashville Downtown, The Gulch, Nashville, TN</t>
  </si>
  <si>
    <t xml:space="preserve">Application-based C-Suite AI summit in Nashville — strong enterprise buyer pool; part of the leading AI leadership summit series.</t>
  </si>
  <si>
    <t xml:space="preserve">Leaders in AI Summit Series' Nashville edition. Application-based format for enterprise AI decision-makers and C-Suite leaders.</t>
  </si>
  <si>
    <t xml:space="preserve">Enterprise AI leadership; Agentic AI strategy; AI ROI and transformation; AI governance; Future of enterprise AI</t>
  </si>
  <si>
    <t xml:space="preserve">CEO, CIO, CDO, CAIO, VP AI at enterprise companies</t>
  </si>
  <si>
    <t xml:space="preserve">Sponsorship/Invite only</t>
  </si>
  <si>
    <t xml:space="preserve">https://www.leadersinaisummit.com/nashville</t>
  </si>
  <si>
    <t xml:space="preserve">6257723e-785e-485a-8419-bf9f4cd6e670</t>
  </si>
  <si>
    <t xml:space="preserve">(Millennium Alliance) Enterprise AI Maturity Assembly Austin</t>
  </si>
  <si>
    <t xml:space="preserve">Austin</t>
  </si>
  <si>
    <t xml:space="preserve">The Omni Barton Creek Resort, Austin, TX</t>
  </si>
  <si>
    <t xml:space="preserve">Intimate enterprise AI assembly with sponsor-driven speaking — direct access to enterprise AI decision-makers across the South/Midwest market.</t>
  </si>
  <si>
    <t xml:space="preserve">Millennium Alliance's Enterprise AI Maturity &amp; Transformation Assembly at The Omni Barton Creek Resort in Austin. Two-day exclusive assembly for enterprise AI leaders.</t>
  </si>
  <si>
    <t xml:space="preserve">Enterprise AI maturity and transformation; Agentic AI deployment strategy; AI ROI measurement; Digital transformation with AI; Enterprise AI governance</t>
  </si>
  <si>
    <t xml:space="preserve">CIOs, CDOs, VP AI, enterprise technology leaders at mid-to-large enterprises</t>
  </si>
  <si>
    <t xml:space="preserve">Sponsorship required: mill-all.com/assemblies/
Speaker Submit: https://mill-all.com/contact-us/#apply-to-become-a-speaker mill-all.com/assemblies</t>
  </si>
  <si>
    <t xml:space="preserve">info@mill-all.com</t>
  </si>
  <si>
    <t xml:space="preserve">mill-all.com</t>
  </si>
  <si>
    <t xml:space="preserve">Submitted Thor.
They followed up with sponsor invitation to participate as part of Millennium Alliance's curated assembly series= Sponsorship required for speaking slot.
Speaker Submit: https://mill-all.com/contact-us/#apply-to-become-a-speaker mill-all.com/assemblies</t>
  </si>
  <si>
    <t xml:space="preserve">10046ac1-8d4c-4dd2-a4a1-6ca1db412947</t>
  </si>
  <si>
    <t xml:space="preserve">CDAO Singapore 2026</t>
  </si>
  <si>
    <t xml:space="preserve">April 23, 2026</t>
  </si>
  <si>
    <t xml:space="preserve">Singapore</t>
  </si>
  <si>
    <t xml:space="preserve">Asia</t>
  </si>
  <si>
    <t xml:space="preserve">Equarius Hotel, Sentosa, Singapore</t>
  </si>
  <si>
    <t xml:space="preserve">Leading APAC CDAO summit — ideal for ArcticBlue's potential APAC expansion alongside active Gulf/MENA presence.</t>
  </si>
  <si>
    <t xml:space="preserve">Corinium's CDAO Singapore 2026, gathering senior data and AI leaders from across Southeast Asia and APAC.</t>
  </si>
  <si>
    <t xml:space="preserve">APAC enterprise data strategy; AI adoption in APAC enterprises; CDAO operating model; AI governance; Data-driven transformation in Southeast Asia</t>
  </si>
  <si>
    <t xml:space="preserve">Chief Data Officers, Chief Analytics Officers, Chief AI Officers at APAC enterprises</t>
  </si>
  <si>
    <t xml:space="preserve">Contact Corinium: cdao-sg.coriniumintelligence.com</t>
  </si>
  <si>
    <t xml:space="preserve">cdao-sg.coriniumintelligence.com</t>
  </si>
  <si>
    <t xml:space="preserve">bc5b0b5f-067f-43da-b816-d7311c196dad</t>
  </si>
  <si>
    <t xml:space="preserve">Enterprise AI Singapore 2026</t>
  </si>
  <si>
    <t xml:space="preserve">Enterprise AI focus in Singapore — clusters perfectly with CDAO Singapore for a two-event APAC trip.</t>
  </si>
  <si>
    <t xml:space="preserve">Corinium's Enterprise AI Singapore 2026, co-located with CDAO Singapore at Equarius Hotel.</t>
  </si>
  <si>
    <t xml:space="preserve">Enterprise AI deployment in APAC; Agentic AI for regional enterprises; AI strategy and governance; Data-driven AI transformation; AI ROI for Southeast Asian markets</t>
  </si>
  <si>
    <t xml:space="preserve">Head of AI, VP Engineering, enterprise AI practitioners across APAC</t>
  </si>
  <si>
    <t xml:space="preserve">Contact Corinium: enterpriseai-sg.coriniumintelligence.com</t>
  </si>
  <si>
    <t xml:space="preserve">enterpriseai-sg.coriniumintelligence.com</t>
  </si>
  <si>
    <t xml:space="preserve">b9e7ae8e-0b69-4b1f-91ae-d2c82fffa017</t>
  </si>
  <si>
    <t xml:space="preserve">ISG AI Impact Summit Boston</t>
  </si>
  <si>
    <t xml:space="preserve">Hotel Commonwealth, Boston, MA</t>
  </si>
  <si>
    <t xml:space="preserve">ISG's AI Impact Summit in Boston — clusters with Snowflake Summit (Jun 1–4 SF) for a productive early-June enterprise AI week.</t>
  </si>
  <si>
    <t xml:space="preserve">ISG's AI Impact Summit in Boston, focused on measurable AI impact and enterprise transformation.</t>
  </si>
  <si>
    <t xml:space="preserve">AI impact measurement; Enterprise AI transformation; Agentic AI ROI; AI strategy for enterprise; AI-driven operations</t>
  </si>
  <si>
    <t xml:space="preserve">CIOs, CTOs, enterprise technology leaders from ISG's global enterprise client base</t>
  </si>
  <si>
    <t xml:space="preserve">Contact ISG: aiimpact.isg-one.com/boston</t>
  </si>
  <si>
    <t xml:space="preserve">aiimpact.isg-one.com/boston</t>
  </si>
  <si>
    <t xml:space="preserve">54ca86ed-6db5-4d3c-91ac-d4556fb5e84c</t>
  </si>
  <si>
    <t xml:space="preserve">CDO &amp; CAIO Flagship National Summit Miami</t>
  </si>
  <si>
    <t xml:space="preserve">July 17, 2026</t>
  </si>
  <si>
    <t xml:space="preserve">Miami</t>
  </si>
  <si>
    <t xml:space="preserve">Miami, FL</t>
  </si>
  <si>
    <t xml:space="preserve">CDM's flagship annual CDO/CAIO summit — invitation-only with high concentration of ArcticBlue's exact ICP.</t>
  </si>
  <si>
    <t xml:space="preserve">CDM Media's CDO &amp; CAIO Flagship National Summit in Miami — invite-only gathering of senior data and AI executives.</t>
  </si>
  <si>
    <t xml:space="preserve">CDO/CAIO national priorities; Enterprise AI strategy; AI governance and risk; Data foundations for AI; AI ROI measurement</t>
  </si>
  <si>
    <t xml:space="preserve">Chief Data Officers, Chief AI Officers from F500 enterprises; invitation-only</t>
  </si>
  <si>
    <t xml:space="preserve">Solution Partner required: cdmmedia.com/summits</t>
  </si>
  <si>
    <t xml:space="preserve">https://www.cdmmedia.com/index.php/summits</t>
  </si>
  <si>
    <t xml:space="preserve">ad340261-5969-4f21-bcb7-3eeea0e51a06</t>
  </si>
  <si>
    <t xml:space="preserve">CDAO Chicago 2026</t>
  </si>
  <si>
    <t xml:space="preserve">DoubleTree Magnificent Mile, Chicago, IL</t>
  </si>
  <si>
    <t xml:space="preserve">Strong Midwest CDO/AI audience — deep enterprise buyer pool in Chicago's finance, healthcare, and professional services sectors.</t>
  </si>
  <si>
    <t xml:space="preserve">Corinium's CDAO Chicago 2026, bringing together senior data and AI leaders from the Midwest and beyond.</t>
  </si>
  <si>
    <t xml:space="preserve">Midwest enterprise data and AI strategy; CDAO operating model; AI governance; Agentic AI deployment; Data-driven transformation</t>
  </si>
  <si>
    <t xml:space="preserve">Chief Data Officers, Chief Analytics Officers, Chief AI Officers at Midwest enterprises</t>
  </si>
  <si>
    <t xml:space="preserve">Submission Form: https://da-metro-chicago.coriniumintelligence.com/suggest-a-speaker?utm_source=chatgpt.com</t>
  </si>
  <si>
    <t xml:space="preserve">da-metro-chicago.coriniumintelligence.com</t>
  </si>
  <si>
    <t xml:space="preserve">*Topic E
Key topics they are seeking include:
-Data-Driven Decision Making
-Leveraging AI to Drive Business Outcomes
-Data Governance and Compliance
-Personalization Through Analytics
-The Ethics and Future of AI</t>
  </si>
  <si>
    <t xml:space="preserve">af45eb18-9b56-4884-ab2d-071e24318906</t>
  </si>
  <si>
    <t xml:space="preserve">Enterprise Data World / DGIQ West 2026</t>
  </si>
  <si>
    <t xml:space="preserve">San Diego</t>
  </si>
  <si>
    <t xml:space="preserve">Catamaran Resort Hotel &amp; Spa, San Diego, CA</t>
  </si>
  <si>
    <t xml:space="preserve">Open (late CFP)</t>
  </si>
  <si>
    <t xml:space="preserve">Open CFP with merit-based speaking — strong data governance and AI data foundations audience directly relevant to ArcticBlue.</t>
  </si>
  <si>
    <t xml:space="preserve">DATAVERSITY's Enterprise Data World and DGIQ West 2026, featuring a late/replacement CFP for speakers.</t>
  </si>
  <si>
    <t xml:space="preserve">Enterprise data governance; Data quality for AI; Data management and architecture; AI data foundations; Data strategy</t>
  </si>
  <si>
    <t xml:space="preserve">Data governance professionals, CDOs, data architects, enterprise data leaders</t>
  </si>
  <si>
    <t xml:space="preserve">Late/replacement CFP: dgiq-edw2026.dataversity.net/cfp.cfm</t>
  </si>
  <si>
    <t xml:space="preserve">speakers@dataversity.net</t>
  </si>
  <si>
    <t xml:space="preserve">dgiq-edw2026.dataversity.net</t>
  </si>
  <si>
    <t xml:space="preserve">6cc34192-16fd-4ff4-9c07-c1a118b8c126</t>
  </si>
  <si>
    <t xml:space="preserve">SAP Sapphire &amp; ASUG Annual Conference 2026</t>
  </si>
  <si>
    <t xml:space="preserve">Orange County Convention Center, Orlando, FL</t>
  </si>
  <si>
    <t xml:space="preserve">Major enterprise software conference with strong AI integration track — large buyer audience deploying AI within SAP ecosystems.</t>
  </si>
  <si>
    <t xml:space="preserve">SAP's flagship annual conference co-located with ASUG Annual Conference at Orange County Convention Center.</t>
  </si>
  <si>
    <t xml:space="preserve">Enterprise AI in SAP ecosystem; Business AI and automation; AI-driven ERP transformation; Data and analytics with SAP; Responsible AI in enterprise software</t>
  </si>
  <si>
    <t xml:space="preserve">CIOs, enterprise architects, SAP customers, VP IT at large enterprises</t>
  </si>
  <si>
    <t xml:space="preserve">Customer/partner speaker program via asug.com/events/sap-sapphire-asug-annual-conference-2026</t>
  </si>
  <si>
    <t xml:space="preserve">sap.com/events/sapphire.html</t>
  </si>
  <si>
    <t xml:space="preserve">1223829b-5e22-4318-9e1b-00ede4093e72</t>
  </si>
  <si>
    <t xml:space="preserve">Economist Impact AI Compute Summit 2026</t>
  </si>
  <si>
    <t xml:space="preserve">Amsterdam</t>
  </si>
  <si>
    <t xml:space="preserve">Netherlands</t>
  </si>
  <si>
    <t xml:space="preserve">Amsterdam, Netherlands</t>
  </si>
  <si>
    <t xml:space="preserve">Economist Impact brand provides exceptional media credibility — European AI compute audience adjacent to ArcticBlue's data infrastructure buyers.</t>
  </si>
  <si>
    <t xml:space="preserve">Economist Impact's AI Compute Summit in Amsterdam, focused on AI infrastructure, compute, and enterprise AI deployment.</t>
  </si>
  <si>
    <t xml:space="preserve">AI compute and infrastructure; Enterprise AI deployment at scale; AI strategy for European enterprises; AI governance and regulation; Future of enterprise AI infrastructure</t>
  </si>
  <si>
    <t xml:space="preserve">CIOs, CTOs, enterprise technology and AI leaders from European and global companies</t>
  </si>
  <si>
    <t xml:space="preserve">Contact speaker team via official site</t>
  </si>
  <si>
    <t xml:space="preserve">events.economist.com/ai-compute</t>
  </si>
  <si>
    <t xml:space="preserve">5b055109-11ee-43cd-811a-bb8af9389615</t>
  </si>
  <si>
    <t xml:space="preserve">AI X Leadership Summit — ODSC AI East 2026</t>
  </si>
  <si>
    <t xml:space="preserve">Hynes Convention Center, Boston, MA</t>
  </si>
  <si>
    <t xml:space="preserve">ODSC's enterprise AI leadership track with strong practitioner audience — good earned speaking opportunity for ArcticBlue's technical credibility positioning.</t>
  </si>
  <si>
    <t xml:space="preserve">ODSC's AI X Leadership Summit co-located with AI East 2026 at Hynes Convention Center in Boston.</t>
  </si>
  <si>
    <t xml:space="preserve">AI leadership and strategy; Enterprise AI deployment; AI engineering and operations; Agentic AI at scale; AI transformation leadership</t>
  </si>
  <si>
    <t xml:space="preserve">AI practitioners, enterprise AI leaders, data scientists, VP Engineering at technology companies</t>
  </si>
  <si>
    <t xml:space="preserve">CFP application: odsc.ai</t>
  </si>
  <si>
    <t xml:space="preserve">odsc.ai/contact/</t>
  </si>
  <si>
    <t xml:space="preserve">odsc.ai/east/aix-east/</t>
  </si>
  <si>
    <t xml:space="preserve">2b81ba9b-2a39-4b09-b3b1-b30320d3f8b2</t>
  </si>
  <si>
    <t xml:space="preserve">DataIQ 100 Summit North America 2026</t>
  </si>
  <si>
    <t xml:space="preserve">JW Marriott Nashville, Nashville, TN</t>
  </si>
  <si>
    <t xml:space="preserve">DataIQ's curated top-100 data leaders list event — high-quality, selective enterprise data and AI audience with direct CDO/CAIO ICP alignment.</t>
  </si>
  <si>
    <t xml:space="preserve">DataIQ's 100 Summit North America 2026 at JW Marriott Nashville, recognizing and convening top data and AI leaders.</t>
  </si>
  <si>
    <t xml:space="preserve">Top enterprise data and AI leadership; Data strategy and transformation; AI-driven data culture; CDO priorities; Data-driven business outcomes</t>
  </si>
  <si>
    <t xml:space="preserve">Top 100 data leaders, CDOs, CAIOs, VP Data at leading North American enterprises</t>
  </si>
  <si>
    <t xml:space="preserve">Contact: marketing@dataiq.global</t>
  </si>
  <si>
    <t xml:space="preserve">marketing@dataiq.global</t>
  </si>
  <si>
    <t xml:space="preserve">events.dataiq.global/100summitnorthamerica/</t>
  </si>
  <si>
    <t xml:space="preserve">a98e2c9a-03d4-4ad5-86dc-720025821945</t>
  </si>
  <si>
    <t xml:space="preserve">(Millennium Alliance) Enterprise AI Maturity Assembly Europe</t>
  </si>
  <si>
    <t xml:space="preserve">Madrid</t>
  </si>
  <si>
    <t xml:space="preserve">Spain</t>
  </si>
  <si>
    <t xml:space="preserve">Eurostars Tower Hotel, Madrid, Spain</t>
  </si>
  <si>
    <t xml:space="preserve">European enterprise AI assembly — valuable for ArcticBlue's European expansion alongside London/Zurich presence.</t>
  </si>
  <si>
    <t xml:space="preserve">Millennium Alliance's Enterprise AI Maturity &amp; Transformation Assembly in Madrid, focused on European enterprise AI leaders.</t>
  </si>
  <si>
    <t xml:space="preserve">European enterprise AI maturity; AI transformation strategy; Agentic AI deployment in Europe; EU AI Act compliance; AI ROI in European enterprises</t>
  </si>
  <si>
    <t xml:space="preserve">CIOs, CDOs, CAIOs at European enterprises</t>
  </si>
  <si>
    <t xml:space="preserve">mill-all.com/assemblies/</t>
  </si>
  <si>
    <t xml:space="preserve">Submitted Thor. 
They followed up with sponsor invitation to participate as part of Millennium Alliance's curated assembly series= Sponsorship required for speaking slot.</t>
  </si>
  <si>
    <t xml:space="preserve">7d4d8b67-4138-4d87-a8be-fb2274232ef2</t>
  </si>
  <si>
    <t xml:space="preserve">IAPP Global Privacy Summit 2026</t>
  </si>
  <si>
    <t xml:space="preserve">March 30, 2026</t>
  </si>
  <si>
    <t xml:space="preserve">April 2, 2026</t>
  </si>
  <si>
    <t xml:space="preserve">Washington</t>
  </si>
  <si>
    <t xml:space="preserve">Washington Convention Center, Washington, DC</t>
  </si>
  <si>
    <t xml:space="preserve">Global premier privacy and AI governance event — directly adjacent to enterprise AI governance, EU AI Act compliance, and responsible AI deployment themes central to ArcticBlue's positioning.</t>
  </si>
  <si>
    <t xml:space="preserve">The world's largest privacy event hosted by IAPP, bringing together privacy, data governance, and AI compliance professionals. With AI Act and US AI regulation accelerating, enterprise privacy/AI compliance leaders are a core ArcticBlue-adjacent buyer.</t>
  </si>
  <si>
    <t xml:space="preserve">AI governance and privacy compliance; EU AI Act implementation; Responsible AI and data ethics; Enterprise data privacy strategies; AI regulatory landscape</t>
  </si>
  <si>
    <t xml:space="preserve">Chief Privacy Officers, Chief Compliance Officers, General Counsel, AI governance leads, enterprise risk and compliance professionals</t>
  </si>
  <si>
    <t xml:space="preserve">Speaker applications via iapp.org/conference/global-privacy-summit/</t>
  </si>
  <si>
    <t xml:space="preserve">iapp.org</t>
  </si>
  <si>
    <t xml:space="preserve">iapp.org/conference/global-privacy-summit/</t>
  </si>
  <si>
    <t xml:space="preserve">ca12b16d-805e-48ae-94c4-bd78e7f5cd9c</t>
  </si>
  <si>
    <t xml:space="preserve">HumanX 2026</t>
  </si>
  <si>
    <t xml:space="preserve">April 6, 2026</t>
  </si>
  <si>
    <t xml:space="preserve">April 9, 2026</t>
  </si>
  <si>
    <t xml:space="preserve">The Venetian Resort, Las Vegas, NV</t>
  </si>
  <si>
    <t xml:space="preserve">6,500+</t>
  </si>
  <si>
    <t xml:space="preserve">January 1, 2026</t>
  </si>
  <si>
    <t xml:space="preserve">North America's most influential enterprise AI conference — 6,500+ attendees, 60%+ VP and above; open merit-based speaker application; ideal for ArcticBlue's brand elevation alongside high-value enterprise buyer networking.</t>
  </si>
  <si>
    <t xml:space="preserve">Dubbed the 'Davos of AI,' HumanX 2026 at The Venetian Resort Las Vegas draws 6,500+ attendees and 350+ speakers from the world's most influential AI and enterprise companies. 60%+ VP and above. Speakers from OpenAI, Anthropic, Google DeepMind, Microsoft, Salesforce, LinkedIn, and 100s of top AI-native companies.</t>
  </si>
  <si>
    <t xml:space="preserve">Enterprise AI strategy and deployment; AI integration across the enterprise; Ethics, trust, and responsible AI; Workforce transformation with AI; AI ROI and business value; Cross-industry AI case studies</t>
  </si>
  <si>
    <t xml:space="preserve">C-Suite executives, VPs, enterprise AI leaders, founders, investors; 60%+ VP and above; 6,500+ attendees</t>
  </si>
  <si>
    <t xml:space="preserve">Open speaker application: humanx.co/speak. No pay-to-play — merit-based selection.</t>
  </si>
  <si>
    <t xml:space="preserve">humanx.co</t>
  </si>
  <si>
    <t xml:space="preserve">7571a2de-52da-4f96-bff6-edc16f9a169f</t>
  </si>
  <si>
    <t xml:space="preserve">INFORMS Analytics+ Conference 2026</t>
  </si>
  <si>
    <t xml:space="preserve">April 12, 2026</t>
  </si>
  <si>
    <t xml:space="preserve">National Harbor</t>
  </si>
  <si>
    <t xml:space="preserve">Gaylord National Resort &amp; Convention Center, National Harbor, MD</t>
  </si>
  <si>
    <t xml:space="preserve">1,000+</t>
  </si>
  <si>
    <t xml:space="preserve">CFP closed; contact organizers</t>
  </si>
  <si>
    <t xml:space="preserve">Premier analytics and AI science conference with 1,000+ enterprise practitioners — merit-based speaking through INFORMS; strong overlap with ArcticBlue's data-intensive AI deployment audience.</t>
  </si>
  <si>
    <t xml:space="preserve">INFORMS Analytics+ is the premier professional society conference for analytics, operations research, and AI practitioners. 1,000+ attendees including data scientists, analytics leaders, and enterprise decision-makers deploying AI and advanced analytics.</t>
  </si>
  <si>
    <t xml:space="preserve">Advanced analytics and AI deployment; Operations research and AI; Enterprise data science strategy; AI/ML model production and governance; Prescriptive analytics for enterprise</t>
  </si>
  <si>
    <t xml:space="preserve">Data scientists, analytics managers, VP Analytics, enterprise AI practitioners, operations researchers; 1,000+ attendees</t>
  </si>
  <si>
    <t xml:space="preserve">CFP via INFORMS: informs.org/meetings-conferences/informs-conferences/analytics-conference/ (CFP closed Jan 12, 2026; contact organizers for late consideration)</t>
  </si>
  <si>
    <t xml:space="preserve">analytics-conf@informs.org</t>
  </si>
  <si>
    <t xml:space="preserve">informs.org/meetings-conferences/informs-conferences/analytics-conference/</t>
  </si>
  <si>
    <t xml:space="preserve">84e8fb8a-fa3d-4dd8-b41e-6665119328b8</t>
  </si>
  <si>
    <t xml:space="preserve">LEAP 2026 + DeepFest</t>
  </si>
  <si>
    <t xml:space="preserve">August 31, 2026</t>
  </si>
  <si>
    <t xml:space="preserve">September 3, 2026</t>
  </si>
  <si>
    <t xml:space="preserve">Riyadh</t>
  </si>
  <si>
    <t xml:space="preserve">Saudi Arabia</t>
  </si>
  <si>
    <t xml:space="preserve">Riyadh Front Exhibition &amp; Conference Center, Riyadh, Saudi Arabia</t>
  </si>
  <si>
    <t xml:space="preserve">200,000+</t>
  </si>
  <si>
    <t xml:space="preserve">One of the world's largest tech events — unparalleled scale and global prestige; co-located DeepFest AI track provides direct AI/enterprise alignment; critical for ArcticBlue's MENA expansion and Gulf enterprise relationships.</t>
  </si>
  <si>
    <t xml:space="preserve">LEAP is one of the world's largest technology events, drawing 200,000+ attendees, 1,000+ speakers, and 14+ stages. DeepFest is co-located as the AI-dedicated track within LEAP, focusing on deep technology and AI transformation. Backed by Saudi Vision 2030.</t>
  </si>
  <si>
    <t xml:space="preserve">Global AI transformation; Enterprise AI strategy at scale; Deep tech and AI innovation; MENA and Gulf enterprise digital transformation; AI investment and ecosystem development</t>
  </si>
  <si>
    <t xml:space="preserve">Global tech executives, heads of state, enterprise decision-makers, investors, founders; 200,000+ attendees across 14+ stages</t>
  </si>
  <si>
    <t xml:space="preserve">Speaker nominations via leapspeakers@tahaluf.com. 
Submission form: https://airtable.com/appZwy5G7NEgWOrPW/pagLEm5hEa7j2szxQ/form</t>
  </si>
  <si>
    <t xml:space="preserve">https://onegiantleap.com/?utm_source=google&amp;utm_medium=organic_search&amp;utm_campaign=Unspecified</t>
  </si>
  <si>
    <t xml:space="preserve">Postponed from April 13 to Aug 31. 
*Followed up with a re-submit for new dates
*Topic A / could also do topic E
Speaker nomination personally sent to Fares Sahnoune: leapspeakers@tahaluf.com 
and also via the form</t>
  </si>
  <si>
    <t xml:space="preserve">15d1166b-dd9d-4292-91a0-ecaeaadc2b6c</t>
  </si>
  <si>
    <t xml:space="preserve">AI Product Summit San Jose</t>
  </si>
  <si>
    <t xml:space="preserve">San Jose, CA</t>
  </si>
  <si>
    <t xml:space="preserve">800+</t>
  </si>
  <si>
    <t xml:space="preserve">Dedicated AI product leadership summit in the Bay Area — strong engineering and product buyer overlap with ArcticBlue's AI infrastructure and deployment positioning.</t>
  </si>
  <si>
    <t xml:space="preserve">Dedicated summit for product leaders building AI-native products. 800+ attendees across two tracks: AI Product Strategy and AI Engineering. Organized by Product-Led Alliance.</t>
  </si>
  <si>
    <t xml:space="preserve">AI product strategy and roadmap; AI-native product development; AI engineering and MLOps; Product-led AI growth; Enterprise AI product management</t>
  </si>
  <si>
    <t xml:space="preserve">CPOs, VPs of Product, Head of AI Product, AI engineers, product managers at AI-native and enterprise companies; 800+ attendees</t>
  </si>
  <si>
    <t xml:space="preserve">Speaker applications via productledalliance.com/summit/</t>
  </si>
  <si>
    <t xml:space="preserve">productledalliance.com</t>
  </si>
  <si>
    <t xml:space="preserve">productledalliance.com/summit/</t>
  </si>
  <si>
    <t xml:space="preserve">ff65d10d-02c8-478e-8a76-5e0910fbd58d</t>
  </si>
  <si>
    <t xml:space="preserve">Chief AI Officer Summit NYC (RE-WORK April)</t>
  </si>
  <si>
    <t xml:space="preserve">Convene, 237 Park Ave, New York, NY</t>
  </si>
  <si>
    <t xml:space="preserve">Dedicated CAIO summit in NYC (home base) with a strong earned speaking track — direct ArcticBlue ICP audience of Chief AI Officers making enterprise AI deployment decisions. Note: separate from the Jun 9 RE-WORK/Corinium CAIO NY event.</t>
  </si>
  <si>
    <t xml:space="preserve">RE-WORK's Chief AI Officer Summit NYC at Convene, 237 Park Ave. One-day summit bringing together Chief AI Officers and enterprise AI leaders. Past speakers from Lexington Partners, NYC Council, New York Life, Pfizer, and Prudential.</t>
  </si>
  <si>
    <t xml:space="preserve">Chief AI Officer strategy and org design; Enterprise AI governance and risk; AI deployment at enterprise scale; AI ethics and responsible deployment; AI transformation ROI</t>
  </si>
  <si>
    <t xml:space="preserve">Chief AI Officers, VP AI Strategy, Head of Enterprise AI, CDOs at large enterprises</t>
  </si>
  <si>
    <t xml:space="preserve">Speaker request via caio-ny.re-work.co. Contact RE-WORK for April event specifically.</t>
  </si>
  <si>
    <t xml:space="preserve">re-work.co</t>
  </si>
  <si>
    <t xml:space="preserve">76dc4979-40d5-45d5-b98e-90a959ac40b2</t>
  </si>
  <si>
    <t xml:space="preserve">Business Intelligence &amp; Analytics Summit Amsterdam</t>
  </si>
  <si>
    <t xml:space="preserve">April 17, 2026</t>
  </si>
  <si>
    <t xml:space="preserve">European enterprise BI and analytics summit — good complement to ArcticBlue's European outreach alongside AI compute and data-driven transformation themes.</t>
  </si>
  <si>
    <t xml:space="preserve">International Business Intelligence and Analytics Summit in Amsterdam. Enterprise analytics and data leaders from across Europe converge to discuss BI strategy, AI-augmented analytics, and data-driven decision-making.</t>
  </si>
  <si>
    <t xml:space="preserve">Enterprise BI and analytics strategy; AI-augmented business intelligence; Data-driven decision-making; Analytics governance; Self-service analytics and AI</t>
  </si>
  <si>
    <t xml:space="preserve">BI Directors, Head of Analytics, CDOs, VP Data at European enterprises</t>
  </si>
  <si>
    <t xml:space="preserve">Contact organizers via intelligenceanalyticssummit.iqpc.com</t>
  </si>
  <si>
    <t xml:space="preserve">businessintelligencesummit.com</t>
  </si>
  <si>
    <t xml:space="preserve">intelligenceanalyticssummit.iqpc.com</t>
  </si>
  <si>
    <t xml:space="preserve">9f99109f-2dca-47e2-90ab-732f6310b117</t>
  </si>
  <si>
    <t xml:space="preserve">Forrester B2B Summit North America 2026</t>
  </si>
  <si>
    <t xml:space="preserve">April 26, 2026</t>
  </si>
  <si>
    <t xml:space="preserve">Phoenix</t>
  </si>
  <si>
    <t xml:space="preserve">Hyatt Regency Phoenix, Phoenix, AZ</t>
  </si>
  <si>
    <t xml:space="preserve">Forrester's premier B2B GTM summit — ArcticBlue's enterprise sales motion and AI-driven revenue positioning are directly relevant to this audience of B2B marketing and sales leaders evaluating AI vendors.</t>
  </si>
  <si>
    <t xml:space="preserve">Forrester's flagship B2B Summit for marketing, sales, product, and GTM leaders. Focuses on AI in B2B buying journeys, enterprise revenue growth, and go-to-market transformation. 2,000+ attendees.</t>
  </si>
  <si>
    <t xml:space="preserve">AI in B2B buying and GTM strategy; Revenue growth and AI-driven sales; Product-led and AI-augmented marketing; Enterprise buying committee alignment; B2B SaaS and AI vendor positioning</t>
  </si>
  <si>
    <t xml:space="preserve">CMOs, VP Marketing, VP Sales, Chief Revenue Officers, VP Product at B2B enterprise companies; 2,000+ attendees</t>
  </si>
  <si>
    <t xml:space="preserve">Speaking via sponsorship/partnership: forrester.com/events-webinars/b2b-summit-north-america/</t>
  </si>
  <si>
    <t xml:space="preserve">events@forrester.com</t>
  </si>
  <si>
    <t xml:space="preserve">forrester.com/events-webinars/b2b-summit-north-america/</t>
  </si>
  <si>
    <t xml:space="preserve">5e23920b-c9f4-43de-9b81-14b6f6bc5035</t>
  </si>
  <si>
    <t xml:space="preserve">AI+IM Global Summit 2026 (AIIM)</t>
  </si>
  <si>
    <t xml:space="preserve">Baltimore</t>
  </si>
  <si>
    <t xml:space="preserve">Baltimore Convention Center, Baltimore, MD</t>
  </si>
  <si>
    <t xml:space="preserve">Enterprise information management audience undergoing AI transformation — overlaps with ArcticBlue's AI-driven document and workflow automation positioning.</t>
  </si>
  <si>
    <t xml:space="preserve">AIIM's AI + Information Management Global Summit in Baltimore. Focused on the convergence of AI and intelligent information management, document intelligence, and enterprise content automation.</t>
  </si>
  <si>
    <t xml:space="preserve">AI-driven information management; Intelligent document processing; Enterprise content automation; AI and records management; Digital transformation with AI</t>
  </si>
  <si>
    <t xml:space="preserve">Records managers, information management professionals, enterprise content leaders, compliance officers</t>
  </si>
  <si>
    <t xml:space="preserve">Speaker applications via aiim.org/aiim-global-summit-2026</t>
  </si>
  <si>
    <t xml:space="preserve">info@aiim.org</t>
  </si>
  <si>
    <t xml:space="preserve">aiim.org/aiim-global-summit-2026</t>
  </si>
  <si>
    <t xml:space="preserve">3ddada38-1268-4253-92d0-b7732507b2de</t>
  </si>
  <si>
    <t xml:space="preserve">Chief AI Officer Summit Silicon Valley (AI Accelerator Institute)</t>
  </si>
  <si>
    <t xml:space="preserve">Santa Clara</t>
  </si>
  <si>
    <t xml:space="preserve">Santa Clara Convention Center, Santa Clara, CA</t>
  </si>
  <si>
    <t xml:space="preserve">Dedicated Bay Area CAIO summit run by AI Accelerator Institute — direct ArcticBlue ICP audience; separate from the Apr 14 AIAI Silicon Valley Summit (different date and venue).</t>
  </si>
  <si>
    <t xml:space="preserve">AI Accelerator Institute's Chief AI Officer Summit Silicon Valley at the Santa Clara Convention Center. One-day executive summit for senior AI leaders driving enterprise AI transformation.</t>
  </si>
  <si>
    <t xml:space="preserve">Chief AI Officer strategy and priorities; Enterprise AI deployment and governance; Agentic AI for enterprise operations; AI ROI and business case; Responsible AI frameworks</t>
  </si>
  <si>
    <t xml:space="preserve">Chief AI Officers, VP AI Strategy, Head of Enterprise AI, CDOs at Bay Area and national enterprises</t>
  </si>
  <si>
    <t xml:space="preserve">Contact AI Accelerator Institute: world.aiacceleratorinstitute.com</t>
  </si>
  <si>
    <t xml:space="preserve">2aeb756c-fcd7-4a9d-a523-ce95ba1c6be4</t>
  </si>
  <si>
    <t xml:space="preserve">Machine Learning Week — Hybrid AI 2026</t>
  </si>
  <si>
    <t xml:space="preserve">Hyatt Regency San Francisco, San Francisco, CA</t>
  </si>
  <si>
    <t xml:space="preserve">One of the longest-running enterprise ML conferences — Hybrid AI positioning (GenAI + Predictive ML) directly aligns with ArcticBlue's enterprise AI deployment and reliability narrative; earned speaking opportunity.</t>
  </si>
  <si>
    <t xml:space="preserve">Machine Learning Week's 18th annual Hybrid AI conference in San Francisco. Focused on combining generative AI with predictive ML, reliability layers, enterprise-grade AI deployment, and responsible AI infrastructure. Speakers receive complimentary full conference access.</t>
  </si>
  <si>
    <t xml:space="preserve">Hybrid AI: generative + predictive ML; Enterprise AI reliability and production; Responsible AI deployment; MLOps and AI infrastructure; Generative AI for enterprise applications</t>
  </si>
  <si>
    <t xml:space="preserve">ML engineers, data scientists, enterprise AI practitioners, CTOs, VP Engineering at enterprise and AI-native companies</t>
  </si>
  <si>
    <t xml:space="preserve">CFP: machinelearningweek.com/speak/ (speakers receive complimentary conference access)</t>
  </si>
  <si>
    <t xml:space="preserve">machinelearningweek.com</t>
  </si>
  <si>
    <t xml:space="preserve">de78e903-f9b9-4eda-8c99-8fdb3e3bf479</t>
  </si>
  <si>
    <t xml:space="preserve">AI &amp; Big Data Expo North America 2026</t>
  </si>
  <si>
    <t xml:space="preserve">May 18, 2026</t>
  </si>
  <si>
    <t xml:space="preserve">Santa Clara Convention Center, San Jose, CA</t>
  </si>
  <si>
    <t xml:space="preserve">8,000+</t>
  </si>
  <si>
    <t xml:space="preserve">Large enterprise tech expo with broad AI and data audience — good brand exposure opportunity alongside other Bay Area events in May; strong North American enterprise tech buyer presence.</t>
  </si>
  <si>
    <t xml:space="preserve">AI &amp; Big Data Expo North America at Santa Clara Convention Center, co-located with 6 other enterprise tech expos as TechEx NA. 8,000+ attendees, 250+ speakers across AI, cloud, cybersecurity, blockchain, IoT, and fintech tracks.</t>
  </si>
  <si>
    <t xml:space="preserve">Enterprise AI and big data strategy; AI deployment at scale; Data infrastructure for AI; Cloud AI and MLOps; Industry AI applications</t>
  </si>
  <si>
    <t xml:space="preserve">Enterprise tech leaders, CTOs, VP Engineering, data engineers, AI practitioners; 8,000+ attendees</t>
  </si>
  <si>
    <t xml:space="preserve">Speaker applications via ai-expo.net/northamerica/</t>
  </si>
  <si>
    <t xml:space="preserve">ai-expo.net/northamerica/</t>
  </si>
  <si>
    <t xml:space="preserve">43c9b8e9-d33a-415d-8655-d5d2444d4ec7</t>
  </si>
  <si>
    <t xml:space="preserve">AI World Congress London 2026</t>
  </si>
  <si>
    <t xml:space="preserve">London enterprise AI gathering in late June — potential add-on to ArcticBlue's European summer calendar; lower priority than adjacent London events but provides supplementary brand presence.</t>
  </si>
  <si>
    <t xml:space="preserve">AI World Congress brings together enterprise AI leaders from across global industries for two days of strategic sessions on AI deployment, governance, and innovation.</t>
  </si>
  <si>
    <t xml:space="preserve">Enterprise AI transformation; AI governance and regulation; AI deployment across industries; Responsible AI; AI strategy for global enterprises</t>
  </si>
  <si>
    <t xml:space="preserve">Enterprise AI leaders, CTOs, CDOs, VP Digital Transformation, AI practitioners at global enterprises</t>
  </si>
  <si>
    <t xml:space="preserve">
If you're interested in speaking at AI World Congress 2026, please visit our Contact page and submit your proposal. We welcome speakers from diverse backgrounds in the AI ecosystem.
https://aiconference.london/contact</t>
  </si>
  <si>
    <t xml:space="preserve">aiconference.london</t>
  </si>
  <si>
    <t xml:space="preserve">8f35bcaf-d437-4b67-bd37-31bdde418c31</t>
  </si>
  <si>
    <t xml:space="preserve">IDC AI &amp; Data Summit France</t>
  </si>
  <si>
    <t xml:space="preserve">April 8, 2026</t>
  </si>
  <si>
    <t xml:space="preserve">~200</t>
  </si>
  <si>
    <t xml:space="preserve">IDC-branded AI &amp; Data Summit in Paris with a senior CIO/CDO audience — strong European enterprise buyer profile and good cluster opportunity with other Q2 Paris events (VivaTech, Raise Summit).</t>
  </si>
  <si>
    <t xml:space="preserve">IDC's one-day AI &amp; Data Summit in Paris, bringing together ~200 senior enterprise data and AI leaders from French and European corporations for strategic sessions on AI maturity and data-driven transformation.</t>
  </si>
  <si>
    <t xml:space="preserve">Enterprise AI strategy for European leaders; Data infrastructure and AI maturity; CIO/CDO roadmap for AI transformation; AI governance and EU AI Act; Measurable business value from AI</t>
  </si>
  <si>
    <t xml:space="preserve">CIOs, CDOs, Chief Data &amp; Analytics Officers, SVP Data at French and European enterprises; ~200 senior executives</t>
  </si>
  <si>
    <t xml:space="preserve">Partnership/sponsor track via IDC France: idc.com/eu/events</t>
  </si>
  <si>
    <t xml:space="preserve">idc.com/eu/events</t>
  </si>
  <si>
    <t xml:space="preserve">2c506d4b-f339-48ef-9eb8-5f036549b72f</t>
  </si>
  <si>
    <t xml:space="preserve">(Millennium Alliance) Enterprise AI Maturity Assembly Miami</t>
  </si>
  <si>
    <t xml:space="preserve">Intimate invitation-only enterprise AI assembly for F100/F500 CIOs and CDOs — exact ArcticBlue ICP with sponsor-driven speaking access and high-density executive networking in Miami.</t>
  </si>
  <si>
    <t xml:space="preserve">Millennium Alliance's Enterprise AI Maturity &amp; Transformation Assembly in Miami. Invitation-only executive assembly for global CIOs, CTOs, and CDOs from Fortune 100/500 companies focused on advancing AI maturity and enterprise transformation.</t>
  </si>
  <si>
    <t xml:space="preserve">Enterprise AI maturity and transformation; AI program scaling from pilot to production; CDO/CAIO operating model design; AI ROI and measurement frameworks; Agentic AI deployment strategy</t>
  </si>
  <si>
    <t xml:space="preserve">CIOs, CTOs, CDOs, Chief AI Officers from Fortune 100 and Fortune 500 enterprises; invitation-only format</t>
  </si>
  <si>
    <t xml:space="preserve">Speaker Submit: https://mill-all.com/contact-us/#apply-to-become-a-speaker mill-all.com/assemblies
Sponsorship required: mill-all.com/assemblies/</t>
  </si>
  <si>
    <t xml:space="preserve">acf52fc3-dd27-45c1-8f2e-9be46390aec6</t>
  </si>
  <si>
    <t xml:space="preserve">Generative AI Summit London</t>
  </si>
  <si>
    <t xml:space="preserve">April 13, 2026</t>
  </si>
  <si>
    <t xml:space="preserve">Dedicated London GenAI summit for FTSE 100 Chief AI Officers and CDOs — strong earned speaker track with ArcticBlue's exact enterprise buyer profile; clusters well with LEAP/Singapore April travel.</t>
  </si>
  <si>
    <t xml:space="preserve">The Generative AI Summit in London brings together Chief AI Officers, CDOs, and Heads of AI from FTSE 100 companies for three days of strategic sessions on enterprise GenAI deployment, governance, and real-world use cases.</t>
  </si>
  <si>
    <t xml:space="preserve">Generative AI deployment in enterprise; AI governance and responsible GenAI; CAIO strategy for FTSE 100; AI-driven automation and productivity; Enterprise AI use case ROI</t>
  </si>
  <si>
    <t xml:space="preserve">Chief AI Officers, CDOs, Heads of AI and Data from FTSE 100 and major European enterprises</t>
  </si>
  <si>
    <t xml:space="preserve">Speaker applications via official summit site; earned CFP track available</t>
  </si>
  <si>
    <t xml:space="preserve">generativeaisummit.co.uk</t>
  </si>
  <si>
    <t xml:space="preserve">aidataanalytics.network/events-generativeaisummit</t>
  </si>
  <si>
    <t xml:space="preserve">646457d0-24cb-49dc-b11b-b776f8fde5ae</t>
  </si>
  <si>
    <t xml:space="preserve">Milken Institute Global Conference 2026</t>
  </si>
  <si>
    <t xml:space="preserve">May 3, 2026</t>
  </si>
  <si>
    <t xml:space="preserve">Los Angeles</t>
  </si>
  <si>
    <t xml:space="preserve">The Beverly Hilton, Los Angeles, CA</t>
  </si>
  <si>
    <t xml:space="preserve">Finance; Enterprise</t>
  </si>
  <si>
    <t xml:space="preserve">4,000+</t>
  </si>
  <si>
    <t xml:space="preserve">Elite Halo event convening 4,000+ global CEOs, investors, and policy makers — unparalleled brand elevation and relationship capital for ArcticBlue at the highest level of enterprise influence.</t>
  </si>
  <si>
    <t xml:space="preserve">The Milken Institute Global Conference at The Beverly Hilton is one of the world's premier forums connecting business, government, and nonprofit leaders. AI and enterprise technology are core themes. Convenes 4,000+ global leaders including heads of state, CEOs of Fortune 500, investors, and policymakers.</t>
  </si>
  <si>
    <t xml:space="preserve">Global AI policy and enterprise strategy; AI investment and innovation; Enterprise technology transformation; Future of work with AI; AI-driven economic growth</t>
  </si>
  <si>
    <t xml:space="preserve">Heads of state, Fortune 500 CEOs, global investors, policy makers, technology leaders; 4,000+ attendees</t>
  </si>
  <si>
    <t xml:space="preserve">Invitation-only/membership-based; sponsor/partner track via milkeninstitute.org/events/global-conference/</t>
  </si>
  <si>
    <t xml:space="preserve">milkeninstitute.org</t>
  </si>
  <si>
    <t xml:space="preserve">milkeninstitute.org/events/global-conference/</t>
  </si>
  <si>
    <t xml:space="preserve">7541e872-6ac3-4701-aa22-f00b7e8e4dda</t>
  </si>
  <si>
    <t xml:space="preserve">Rise of AI Conference Berlin</t>
  </si>
  <si>
    <t xml:space="preserve">Berlin</t>
  </si>
  <si>
    <t xml:space="preserve">Berlin, Germany</t>
  </si>
  <si>
    <t xml:space="preserve">Berlin enterprise AI conference with earned speaking track — good European presence opportunity, especially if combined with other May/June Europe travel; C-level executive audience.</t>
  </si>
  <si>
    <t xml:space="preserve">Rise of AI Conference in Berlin brings together C-level executives and AI practitioners for two days of sessions on enterprise AI strategy, responsible AI, and real-world deployment. Known for its merit-based speaker selection.</t>
  </si>
  <si>
    <t xml:space="preserve">Enterprise AI strategy in Europe; Responsible AI and governance; AI deployment case studies; Agentic AI for European enterprises; AI and future of work</t>
  </si>
  <si>
    <t xml:space="preserve">C-level executives, enterprise AI practitioners, founders, investors across German and European tech ecosystem</t>
  </si>
  <si>
    <t xml:space="preserve">Merit-based CFP: riseof.ai/speak</t>
  </si>
  <si>
    <t xml:space="preserve">https://riseof.ai/conference-2026/</t>
  </si>
  <si>
    <t xml:space="preserve">riseof.ai</t>
  </si>
  <si>
    <t xml:space="preserve">8654b00a-dc72-48d1-be13-a650e1f94007</t>
  </si>
  <si>
    <t xml:space="preserve">Data Summit Boston</t>
  </si>
  <si>
    <t xml:space="preserve">Marriott Copley Place, Boston, MA</t>
  </si>
  <si>
    <t xml:space="preserve">Key Boston enterprise data and AI summit — clusters well with MIT Sloan CIO Symposium (May 19) and Leaders in AI Summit Boston (May 20); CDO/CDAO audience directly aligned with ArcticBlue's buyer profile.</t>
  </si>
  <si>
    <t xml:space="preserve">Data Summit at Marriott Copley Place in Boston — the Northeast's premier event for enterprise data, analytics, and AI practitioners. Covers CDO priorities, data infrastructure for AI, and operational AI deployment.</t>
  </si>
  <si>
    <t xml:space="preserve">Enterprise data strategy for AI; CDO and CDAO priorities for 2026; Data infrastructure and pipelines for AI; AI-driven analytics; Responsible data governance</t>
  </si>
  <si>
    <t xml:space="preserve">CDOs, Chief Data &amp; Analytics Officers, data engineers, VP Analytics at US enterprises</t>
  </si>
  <si>
    <t xml:space="preserve">Speaker applications via dbta.com/datasummit/</t>
  </si>
  <si>
    <t xml:space="preserve">dbta.com/datasummit/</t>
  </si>
  <si>
    <t xml:space="preserve">00b25b6a-4ea9-41bd-b03d-9e96d6facb2a</t>
  </si>
  <si>
    <t xml:space="preserve">(Millennium Alliance) Enterprise AI Security Assembly Fort Lauderdale</t>
  </si>
  <si>
    <t xml:space="preserve">Fort Lauderdale</t>
  </si>
  <si>
    <t xml:space="preserve">Fort Lauderdale, FL</t>
  </si>
  <si>
    <t xml:space="preserve">AI security-focused enterprise assembly — adjacent to ArcticBlue's governance and responsible AI positioning; access to CISO and CSO buyer profiles who influence enterprise AI deployment decisions.</t>
  </si>
  <si>
    <t xml:space="preserve">Millennium Alliance's Enterprise AI Security &amp; Transformation Assembly in Fort Lauderdale. Invitation-only executive assembly for global CISOs, Chief Security Officers, and C-suite enterprise leaders focused on AI security strategy and transformation.</t>
  </si>
  <si>
    <t xml:space="preserve">Enterprise AI security strategy; AI governance and risk management; Cyber-AI threat landscape; Responsible AI deployment and compliance; AI security operating model</t>
  </si>
  <si>
    <t xml:space="preserve">CISOs, Chief Security Officers, CIOs, enterprise risk and compliance leaders; invitation-only format</t>
  </si>
  <si>
    <t xml:space="preserve">Submitted Thor.
They followed up with sponsor invitation to participate as part of Millennium Alliance's curated assembly series= Sponsorship required for speaking slot.</t>
  </si>
  <si>
    <t xml:space="preserve">183945ce-aeb8-46c5-b752-eac7135fec17</t>
  </si>
  <si>
    <t xml:space="preserve">AI Everything Abu Dhabi</t>
  </si>
  <si>
    <t xml:space="preserve">Abu Dhabi</t>
  </si>
  <si>
    <t xml:space="preserve">Abu Dhabi National Exhibition Centre (ADNEC), Abu Dhabi, UAE</t>
  </si>
  <si>
    <t xml:space="preserve">World's largest AI-dedicated event in the Gulf — critical for ArcticBlue's MENA expansion; direct access to government and enterprise AI decision-makers in the UAE and broader Gulf region.</t>
  </si>
  <si>
    <t xml:space="preserve">AI Everything is the world's largest and most impactful AI-dedicated event, held in Abu Dhabi. Draws government ministers, enterprise executives, and AI innovators from across the MENA region and globally. Focused on AI-driven transformation across sectors.</t>
  </si>
  <si>
    <t xml:space="preserve">AI transformation across MENA and Gulf; Government and enterprise AI strategy; AI investment and ecosystem development; AI-driven national and corporate transformation; Responsible AI in the Gulf</t>
  </si>
  <si>
    <t xml:space="preserve">Government ministers, enterprise CAOs, CTOs, CDOs from MENA region, global AI investors and innovators</t>
  </si>
  <si>
    <t xml:space="preserve">Speaker nominations and sponsor packages via aieverything.com</t>
  </si>
  <si>
    <t xml:space="preserve">aieverything.com</t>
  </si>
  <si>
    <t xml:space="preserve">f06d6e6a-2e94-44c9-a243-4266718859dc</t>
  </si>
  <si>
    <t xml:space="preserve">Red Hat Summit Atlanta</t>
  </si>
  <si>
    <t xml:space="preserve">Georgia World Congress Center, Atlanta, GA</t>
  </si>
  <si>
    <t xml:space="preserve">Large enterprise tech conference with AI and automation track — broad brand exposure opportunity though less directly aligned with ArcticBlue's executive buyer profile; primarily an IT practitioner audience.</t>
  </si>
  <si>
    <t xml:space="preserve">Red Hat Summit is Red Hat's flagship annual conference at the Georgia World Congress Center in Atlanta. Draws 5,000+ enterprise IT leaders, developers, and architects focused on open-source technology, cloud, AI, and automation.</t>
  </si>
  <si>
    <t xml:space="preserve">Open-source AI and automation; Enterprise AI integration with hybrid cloud; AI-driven DevOps and platform engineering; Kubernetes and AI infrastructure; Red Hat AI ecosystem</t>
  </si>
  <si>
    <t xml:space="preserve">Enterprise IT leaders, developers, cloud architects, CIOs at Red Hat customer organizations; 5,000+ attendees</t>
  </si>
  <si>
    <t xml:space="preserve">CFP via redhat.com/en/summit</t>
  </si>
  <si>
    <t xml:space="preserve">redhat.com/en/summit</t>
  </si>
  <si>
    <t xml:space="preserve">19e5ce33-5a83-4636-8e9c-90bafe3b1dc1</t>
  </si>
  <si>
    <t xml:space="preserve">Web Summit Vancouver</t>
  </si>
  <si>
    <t xml:space="preserve">Vancouver</t>
  </si>
  <si>
    <t xml:space="preserve">Vancouver Convention Centre, Vancouver, BC, Canada</t>
  </si>
  <si>
    <t xml:space="preserve">Web Summit's inaugural North American event — exceptional Halo brand building opportunity with 20,000+ global tech leaders; earned speaking track via open CFP; strong enterprise AI buyer presence.</t>
  </si>
  <si>
    <t xml:space="preserve">Web Summit's first North American edition in Vancouver — a major expansion of the world's most attended technology conference. 20,000+ attendees including tech founders, enterprise buyers, investors, and policymakers. AI and enterprise technology are central themes.</t>
  </si>
  <si>
    <t xml:space="preserve">Enterprise AI and technology transformation; AI investment and startup-enterprise partnerships; Future of work with AI; AI governance and responsible technology; Global AI innovation trends</t>
  </si>
  <si>
    <t xml:space="preserve">Tech founders, enterprise technology leaders, VCs, investors, policymakers; 20,000+ attendees</t>
  </si>
  <si>
    <t xml:space="preserve">https://vancouver.websummit.com/pick-a-speaker/</t>
  </si>
  <si>
    <t xml:space="preserve">websummit.com/vancouver</t>
  </si>
  <si>
    <t xml:space="preserve">Reached out to speaker submit — no openings.</t>
  </si>
  <si>
    <t xml:space="preserve">c77bdd67-9ad0-4e61-8684-cce77243f7d2</t>
  </si>
  <si>
    <t xml:space="preserve">Chief AI Officer Exchange USA Chicago</t>
  </si>
  <si>
    <t xml:space="preserve">Dedicated Chief AI Officer peer exchange in Chicago — ArcticBlue's exact ICP (CAIOs making enterprise AI buying decisions); intimate sponsor-gated format delivers concentrated executive access.</t>
  </si>
  <si>
    <t xml:space="preserve">IQPC's Chief AI Officer Exchange USA in Chicago. An intimate executive exchange for Chief AI Officers and senior enterprise AI leaders, focused on peer-to-peer knowledge sharing on AI strategy, governance, and deployment. Sponsor-driven format.</t>
  </si>
  <si>
    <t xml:space="preserve">Chief AI Officer strategy and priorities; Enterprise AI governance and risk; Agentic AI for enterprise operations; AI transformation operating model; AI ROI and business value realization</t>
  </si>
  <si>
    <t xml:space="preserve">Chief AI Officers, VP AI Strategy, Head of Enterprise AI, CDOs at Fortune 500 enterprises</t>
  </si>
  <si>
    <t xml:space="preserve">Sponsorship packages include speaking: iqpc.com/events-chiefaiofficerexchange</t>
  </si>
  <si>
    <t xml:space="preserve">iqpc.com</t>
  </si>
  <si>
    <t xml:space="preserve">iqpc.com/events-chiefaiofficerexchange</t>
  </si>
  <si>
    <t xml:space="preserve">858c1c7c-0d42-40d1-b66a-8de945fbf310</t>
  </si>
  <si>
    <t xml:space="preserve">Interrupt 2026 (LangChain AI Agent Conference)</t>
  </si>
  <si>
    <t xml:space="preserve">LangChain's flagship agentic AI conference — directly on-theme with ArcticBlue's sprint-delivery agentic AI positioning; practitioner-to-enterprise audience bridge with strong earned speaking track.</t>
  </si>
  <si>
    <t xml:space="preserve">Interrupt is LangChain's annual AI agent conference in San Francisco. Focused on enterprise agentic AI deployment, multi-agent systems, and real-world LLM applications. Past speakers from Clay, Rippling, Workday, and Monday.com. 1,000+ AI practitioners and enterprise leaders.</t>
  </si>
  <si>
    <t xml:space="preserve">Agentic AI architecture and deployment; Multi-agent systems in enterprise; LLM application development at scale; AI agent orchestration and governance; Enterprise AI engineering and operations</t>
  </si>
  <si>
    <t xml:space="preserve">AI engineers, enterprise AI practitioners, Head of AI, VP Engineering at AI-native and enterprise companies; 1,000+ attendees</t>
  </si>
  <si>
    <t xml:space="preserve">Speaker applications via langchain.com/interrupt</t>
  </si>
  <si>
    <t xml:space="preserve">langchain.com/interrupt</t>
  </si>
  <si>
    <t xml:space="preserve">41bc38a5-184e-4568-8be6-8afcb08381a9</t>
  </si>
  <si>
    <t xml:space="preserve">Enterprise AI Expo - Muscat, Oman (MENA Region)</t>
  </si>
  <si>
    <t xml:space="preserve">November 25, 2026</t>
  </si>
  <si>
    <t xml:space="preserve">November 26, 2026</t>
  </si>
  <si>
    <t xml:space="preserve">Muscat</t>
  </si>
  <si>
    <t xml:space="preserve">Oman</t>
  </si>
  <si>
    <t xml:space="preserve">Sheraton, Muscat, Oman</t>
  </si>
  <si>
    <t xml:space="preserve">3,000 +</t>
  </si>
  <si>
    <t xml:space="preserve">Omani enterprise AI expo for Gulf CXOs — potential supplementary MENA touchpoint though lower priority than Abu Dhabi AI Everything; consider only if already in region.</t>
  </si>
  <si>
    <t xml:space="preserve">Enterprise AI Expo 2026 is the Middle East's definitive platform for enterprise-grade artificial intelligence. Strategically aligned with Oman Vision 2040, this summit convenes global AI leaders, decision-makers, and transforming enterprises to accelerate AI adoption across industries.
Enterprise AI Expo Oman in Muscat brings together CXOs and enterprise technology leaders from 16+ sectors across the Gulf and MENA region, focusing on enterprise AI deployment and digital transformation.
Key Themes-----------------------
Vision 2040: Oman's AI strategy roadmap
Data as Asset: Unlocking value through insights
On-Premise AI: Data residency &amp; control
AI Governance: Compliant &amp; explainable systems
Scalability: Hybrid &amp; multi-cloud architecture
Customer-Centric AI: Personalization &amp; automation
Agentic AI: From copilots to autonomous agents</t>
  </si>
  <si>
    <t xml:space="preserve">Enterprise AI adoption in Oman and Gulf; Digital transformation with AI; AI strategy for public and private sector; MENA AI ecosystem development; Sector-specific AI use cases</t>
  </si>
  <si>
    <t xml:space="preserve">CXOs, enterprise technology leaders from 16+ sectors across Oman and Gulf region</t>
  </si>
  <si>
    <t xml:space="preserve">Contact organizers via official expo site: https://aienterpriseexpo.com/contactus
 For Speakers :                               abbass@thefuture-event.com
General Enquiry :                         contact@thefuture-event.com
 For Sponsorship &amp; Exhibition :   jamal@thefuture-event.com
</t>
  </si>
  <si>
    <t xml:space="preserve">https://aienterpriseexpo.com/</t>
  </si>
  <si>
    <t xml:space="preserve">(Postponed from May)</t>
  </si>
  <si>
    <t xml:space="preserve">00ce7a57-df93-47f3-b7a6-8a57ebd3d685</t>
  </si>
  <si>
    <t xml:space="preserve">AI Summit Singapore at ATxEnterprise</t>
  </si>
  <si>
    <t xml:space="preserve">May 22, 2026</t>
  </si>
  <si>
    <t xml:space="preserve">Singapore EXPO, Singapore</t>
  </si>
  <si>
    <t xml:space="preserve">Singapore's premier AI enterprise summit during ATxEnterprise — strong APAC enterprise buyer audience; earned speaking track via open CFP; good cluster with CDAO Singapore (April 22–23) for a two-trip APAC strategy.</t>
  </si>
  <si>
    <t xml:space="preserve">The AI Summit Singapore is co-located with ATxEnterprise at Singapore EXPO, Singapore's flagship enterprise technology festival. 4,500+ technologists and business professionals focused on AI adoption and enterprise transformation across Southeast Asia and APAC.</t>
  </si>
  <si>
    <t xml:space="preserve">Enterprise AI adoption in APAC; AI strategy for Southeast Asian markets; Agentic AI for regional enterprises; AI governance and responsible deployment; AI-driven business transformation</t>
  </si>
  <si>
    <t xml:space="preserve">Enterprise technology leaders, CIOs, CTOs, Head of AI from APAC organizations; 4,500+ attendees</t>
  </si>
  <si>
    <t xml:space="preserve">Open CFP via asiatechxsg.com/aisummitsingapore/</t>
  </si>
  <si>
    <t xml:space="preserve">aisingapore.org</t>
  </si>
  <si>
    <t xml:space="preserve">asiatechxsg.com/aisummitsingapore/</t>
  </si>
  <si>
    <t xml:space="preserve">872d7e90-593e-40b0-a0b0-2fac1fb74e50</t>
  </si>
  <si>
    <t xml:space="preserve">AINext Conference Las Vegas</t>
  </si>
  <si>
    <t xml:space="preserve">May 21, 2026</t>
  </si>
  <si>
    <t xml:space="preserve">9,000+</t>
  </si>
  <si>
    <t xml:space="preserve">Large AI innovation conference in Las Vegas — broad audience exposure but lower enterprise buyer density than priority events; consider as supplementary brand touchpoint if already in market.</t>
  </si>
  <si>
    <t xml:space="preserve">AINext Conference in Las Vegas. A one-day AI innovation conference drawing 9,000+ AI innovators, practitioners, and enterprise leaders focused on next-generation AI applications and deployment.</t>
  </si>
  <si>
    <t xml:space="preserve">Next-generation AI applications; Enterprise AI innovation; AI deployment and scaling; AI-driven business transformation; Future of AI technology</t>
  </si>
  <si>
    <t xml:space="preserve">AI innovators, enterprise practitioners, technology leaders; 9,000+ attendees</t>
  </si>
  <si>
    <t xml:space="preserve">Speaker applications via ainextconference.com</t>
  </si>
  <si>
    <t xml:space="preserve">ainextconference.com</t>
  </si>
  <si>
    <t xml:space="preserve">d1c032e2-261e-4180-8906-d9793eef69e1</t>
  </si>
  <si>
    <t xml:space="preserve">FinOpsX San Diego</t>
  </si>
  <si>
    <t xml:space="preserve">San Diego Convention Center, San Diego, CA</t>
  </si>
  <si>
    <t xml:space="preserve">Enterprise cloud cost and AI infrastructure management conference — adjacent to ArcticBlue's cost-efficiency and AI ROI narrative; lower priority unless pursuing FinOps-adjacent enterprise buyers.</t>
  </si>
  <si>
    <t xml:space="preserve">FinOpsX is the premier annual conference for FinOps practitioners and cloud financial management leaders. Focused on cloud cost optimization, AI infrastructure cost management, and enterprise cloud economics.</t>
  </si>
  <si>
    <t xml:space="preserve">Cloud financial management and FinOps; AI infrastructure cost optimization; Enterprise cloud economics; FinOps operating model; AI-driven cloud cost management</t>
  </si>
  <si>
    <t xml:space="preserve">FinOps practitioners, CIOs, cloud architects, VP Engineering, finance and engineering leaders at cloud-native enterprises</t>
  </si>
  <si>
    <t xml:space="preserve">Speaker applications via finops.org/finopsx/</t>
  </si>
  <si>
    <t xml:space="preserve">finops.org/finopsx/</t>
  </si>
  <si>
    <t xml:space="preserve">18c2408d-6855-405e-b953-87d2eeeb98fe</t>
  </si>
  <si>
    <t xml:space="preserve">American CIO &amp; Cybersecurity Summit San Francisco</t>
  </si>
  <si>
    <t xml:space="preserve">~150</t>
  </si>
  <si>
    <t xml:space="preserve">Senior CIO/CISO summit in SF clusters well with The AI Summit London cluster — strong enterprise buyer density; AI security and technology decision-makers directly relevant to ArcticBlue's enterprise positioning.</t>
  </si>
  <si>
    <t xml:space="preserve">The American CIO &amp; Cybersecurity Summit in San Francisco brings together ~150 senior CIOs, CISOs, and CTOs from Fortune 500 enterprises for two days of peer-led sessions on AI-driven security strategy, cybersecurity transformation, and enterprise technology priorities.</t>
  </si>
  <si>
    <t xml:space="preserve">CIO and CISO AI strategy; AI-driven cybersecurity transformation; Enterprise technology priorities; AI governance and security risk; Digital transformation leadership</t>
  </si>
  <si>
    <t xml:space="preserve">CIOs, CISOs, CTOs from Fortune 500 and major US enterprises; ~150 senior executives</t>
  </si>
  <si>
    <t xml:space="preserve">Contact organizers via cioamerica.com</t>
  </si>
  <si>
    <t xml:space="preserve">americanciosummit.com</t>
  </si>
  <si>
    <t xml:space="preserve">cioamerica.com</t>
  </si>
  <si>
    <t xml:space="preserve">c2ca9fe3-d21c-4798-ac64-06e8b4d4cdef</t>
  </si>
  <si>
    <t xml:space="preserve">MLcon Munich</t>
  </si>
  <si>
    <t xml:space="preserve">June 22, 2026</t>
  </si>
  <si>
    <t xml:space="preserve">June 26, 2026</t>
  </si>
  <si>
    <t xml:space="preserve">Munich, Germany</t>
  </si>
  <si>
    <t xml:space="preserve">European ML and AI engineering conference in Munich — good practitioner-to-enterprise audience bridge; complements CDAO Germany (April 28–29) for a Munich presence; earned speaking through merit-based CFP.</t>
  </si>
  <si>
    <t xml:space="preserve">MLcon Munich is a premier European machine learning and AI engineering conference drawing software developers, data scientists, ML engineers, and enterprise C-level leaders. Focused on practical ML and AI deployment at enterprise scale.</t>
  </si>
  <si>
    <t xml:space="preserve">Machine learning engineering at enterprise scale; Enterprise AI deployment and MLOps; LLM and generative AI in production; AI governance and responsible ML; Hybrid and edge AI for enterprises</t>
  </si>
  <si>
    <t xml:space="preserve">Software developers, data scientists, ML engineers, enterprise AI practitioners, C-level technology leaders</t>
  </si>
  <si>
    <t xml:space="preserve">CFP via:
https://callforpapers.sandsmedia.com/</t>
  </si>
  <si>
    <t xml:space="preserve">mlconference.ai</t>
  </si>
  <si>
    <t xml:space="preserve">89fce8fd-21d4-4dfb-956b-ed8f9bb08fd4</t>
  </si>
  <si>
    <t xml:space="preserve">GITEX AI Europe Berlin</t>
  </si>
  <si>
    <t xml:space="preserve">July 1, 2026</t>
  </si>
  <si>
    <t xml:space="preserve">Messe Berlin, Berlin, Germany</t>
  </si>
  <si>
    <t xml:space="preserve">GITEX's European debut in Berlin with 30,000+ attendees — exceptional brand exposure bridging European and MENA markets; complements ArcticBlue's Gulf presence (GITEX Global) and European expansion strategy.</t>
  </si>
  <si>
    <t xml:space="preserve">GITEX AI Europe 2026 at Messe Berlin — a major expansion of the GITEX brand into Europe. Draws 30,000+ enterprises, startups, and 600+ investors focused on AI, digital transformation, and enterprise technology across Europe and the Middle East.
GITEX AI EUROPE is Europe’s boldest and most international tech, startup and investment event. It’s where the latest technologies in AI, Big Data, Cloud, Cybersecurity, Quantum and more will converge to support the future of Europe’s sovereign innovation and digital transformation.</t>
  </si>
  <si>
    <t xml:space="preserve">Enterprise AI strategy in Europe; AI-driven digital transformation; AI investment and startup ecosystem; MENA-Europe AI partnerships; Future of enterprise technology</t>
  </si>
  <si>
    <t xml:space="preserve">Enterprise technology leaders, startups, investors, government representatives from Europe and MENA; 30,000+ attendees</t>
  </si>
  <si>
    <t xml:space="preserve">Sponsor: https://event.gitexeurope.com/Sponsorship-enquiry-2026</t>
  </si>
  <si>
    <t xml:space="preserve">gitexeurope.com</t>
  </si>
  <si>
    <t xml:space="preserve">It’s curated + partnership influenced.
Thor would like to make a connection with GITEX to do more stuff with them.</t>
  </si>
  <si>
    <t xml:space="preserve">c5dba687-43cf-47a2-abb9-71cce940061a</t>
  </si>
  <si>
    <t xml:space="preserve">Web Summit Doha</t>
  </si>
  <si>
    <t xml:space="preserve">Past event</t>
  </si>
  <si>
    <t xml:space="preserve">February 1, 2026</t>
  </si>
  <si>
    <t xml:space="preserve">February 4, 2026</t>
  </si>
  <si>
    <t xml:space="preserve">Doha</t>
  </si>
  <si>
    <t xml:space="preserve">Qatar</t>
  </si>
  <si>
    <t xml:space="preserve">Doha Exhibition and Convention Center, Doha, Qatar</t>
  </si>
  <si>
    <t xml:space="preserve">Tech</t>
  </si>
  <si>
    <t xml:space="preserve">N/A (past event)</t>
  </si>
  <si>
    <t xml:space="preserve">Flagship global tech event in the Middle East — Thor was booked as a speaker at the February 2026 edition. Relationship with Web Summit organizers (Ciara Haley) opens doors for future editions including Lisbon.</t>
  </si>
  <si>
    <t xml:space="preserve">International technology, startups and digital economy event in the Middle East. The 2026 edition attracted approx. 30,000 attendees from over 120 countries, including 1,500+ startups, 700+ investors, 350+ speakers and 600 media representatives.</t>
  </si>
  <si>
    <t xml:space="preserve">Technology innovation in MENA; Startup and investor ecosystem; Digital economy; AI and emerging technology; Global entrepreneurship</t>
  </si>
  <si>
    <t xml:space="preserve">30,000+ including startups, investors, entrepreneurs, tech companies, media, exhibitors, global delegates from 120+ countries</t>
  </si>
  <si>
    <t xml:space="preserve">Personal contact with Web Summit exec programming team: Ciara Haley (ciara.haley@websummit.com)</t>
  </si>
  <si>
    <t xml:space="preserve">websummit.com/qatar</t>
  </si>
  <si>
    <t xml:space="preserve">4494b543-18e5-4d46-8839-7c3def3f16a3</t>
  </si>
  <si>
    <t xml:space="preserve">World Governments Summit (WGS)</t>
  </si>
  <si>
    <t xml:space="preserve">February 3, 2026</t>
  </si>
  <si>
    <t xml:space="preserve">February 5, 2026</t>
  </si>
  <si>
    <t xml:space="preserve">Premier global government AI policy forum — MENA's highest-profile summit with heads of state and global enterprise leaders; 2026 theme aligned with AI governance and future of government.</t>
  </si>
  <si>
    <t xml:space="preserve">The World Governments Summit 2026 convened under the theme 'Shaping Future Governments,' bringing together governments, international organizations, thought leaders, and private sector leaders from around the globe to foster international cooperation and identify innovative solutions for future challenges.</t>
  </si>
  <si>
    <t xml:space="preserve">Global Government and Effective Leadership; Societal Wellbeing and Capacity Building; Economic Prosperity and Emerging Opportunities; Urban Futures and Evolving Demographics; Future Realities and Next Frontiers</t>
  </si>
  <si>
    <t xml:space="preserve">Heads of state, government ministers, international organization leaders, CEOs, thought leaders from across the globe</t>
  </si>
  <si>
    <t xml:space="preserve">https://www.worldgovernmentssummit.org/contact-us</t>
  </si>
  <si>
    <t xml:space="preserve">worldgovernmentssummit.org</t>
  </si>
  <si>
    <t xml:space="preserve">47f711bf-de2e-4f56-8284-dcda4ac51b62</t>
  </si>
  <si>
    <t xml:space="preserve">(ITI) The Intersect: Tech + Policy Summit</t>
  </si>
  <si>
    <t xml:space="preserve">Washington, DC, USA</t>
  </si>
  <si>
    <t xml:space="preserve">High-level DC tech policy summit — AI governance and regulatory intersection aligns with ArcticBlue's responsible AI positioning; strong government and policy audience.</t>
  </si>
  <si>
    <t xml:space="preserve">The Information Technology Industry Council (ITI) hosts an annual summit that convenes technology industry leaders, CEOs, policymakers, regulators and visionaries to discuss how technology intersects with public policy, regulation, cybersecurity, AI, economic and national security, and trade.</t>
  </si>
  <si>
    <t xml:space="preserve">Tech policy and regulation; AI governance; Cybersecurity; International trade and technology; AI economic and national security</t>
  </si>
  <si>
    <t xml:space="preserve">Senior tech executives, government officials, policymakers, regulators, industry association leaders and technology policy thought-leaders</t>
  </si>
  <si>
    <t xml:space="preserve">No open CFP — organizers find and invite speakers directly through their own network.</t>
  </si>
  <si>
    <t xml:space="preserve">itic.org</t>
  </si>
  <si>
    <t xml:space="preserve">607ddbe3-7db0-465e-8914-0c631fc2f25c</t>
  </si>
  <si>
    <t xml:space="preserve">AIBC Eurasia</t>
  </si>
  <si>
    <t xml:space="preserve">February 10, 2026</t>
  </si>
  <si>
    <t xml:space="preserve">February 12, 2026</t>
  </si>
  <si>
    <t xml:space="preserve">Tech; Finance</t>
  </si>
  <si>
    <t xml:space="preserve">Passed — regulatory/compliance-heavy audience not aligned with ArcticBlue's positioning. Flagged AIBC Rome (Italy, November) as a more interesting future opportunity.</t>
  </si>
  <si>
    <t xml:space="preserve">A summit bringing together global leaders in artificial intelligence, blockchain and emerging technologies in Dubai, fostering innovation, investment and partnerships across frontier tech sectors. Part of the global SiGMA AIBC series.</t>
  </si>
  <si>
    <t xml:space="preserve">AI and blockchain; Web3 and emerging tech; MENA tech ecosystem; Crypto regulation and compliance; Investment and innovation</t>
  </si>
  <si>
    <t xml:space="preserve">Industry leaders, start-ups, investors, policymakers, technology visionaries and government representatives in the MENA region</t>
  </si>
  <si>
    <t xml:space="preserve">Had intro meeting with AIBC (via Olga Yaroshevsky). Decided to pass on this edition.</t>
  </si>
  <si>
    <t xml:space="preserve">aibc.world</t>
  </si>
  <si>
    <t xml:space="preserve">869f0213-4457-407a-bf0f-bb3d0b2ea06d</t>
  </si>
  <si>
    <t xml:space="preserve">Generative AI Expo</t>
  </si>
  <si>
    <t xml:space="preserve">Patrick</t>
  </si>
  <si>
    <t xml:space="preserve">Fort Lauderdale, FL, USA</t>
  </si>
  <si>
    <t xml:space="preserve">Enterprise; Finance; HR; Health; AI</t>
  </si>
  <si>
    <t xml:space="preserve">Dedicated GenAI expo with enterprise buyer audience across multiple sectors — Patrick submitted as speaker for Invisible's synthetic personas research.</t>
  </si>
  <si>
    <t xml:space="preserve">The 3rd Annual Generative AI Expo at ITEXPO discusses the latest research and development in generative AI and explores practical applications across healthcare, finance, media, entertainment, customer experience, legal, HR, and more.</t>
  </si>
  <si>
    <t xml:space="preserve">Generative AI models and frameworks; Enterprise AI use cases; AI in healthcare and finance; Customer experience and automation; GenAI governance</t>
  </si>
  <si>
    <t xml:space="preserve">CXOs, technology leaders and innovators, application development execs, CMOs and Chief Digital Officers, senior eCommerce/eBusiness leaders, investment community</t>
  </si>
  <si>
    <t xml:space="preserve">https://www.generativeaiexpo.com/east/call-for-speakers.aspx</t>
  </si>
  <si>
    <t xml:space="preserve">itexpo.com</t>
  </si>
  <si>
    <t xml:space="preserve">*Submitted Patrick. 
His topic: 'Synthetic Personas Are Inevitable: Here's How They'll Shape Decision-Making.' 
Speaker badge includes all-access complimentary access.
*Submitted Patrick. His topic: 'Synthetic Personas Are Inevitable: Here's How They'll Shape Decision-Making.' Speaker badge includes all-access complimentary access.</t>
  </si>
  <si>
    <t xml:space="preserve">19961cfb-0823-4828-927b-2d01b6c6c723</t>
  </si>
  <si>
    <t xml:space="preserve">World AI Cannes Festival (WAICF)</t>
  </si>
  <si>
    <t xml:space="preserve">February 13, 2026</t>
  </si>
  <si>
    <t xml:space="preserve">Cannes</t>
  </si>
  <si>
    <t xml:space="preserve">Cannes, France</t>
  </si>
  <si>
    <t xml:space="preserve">Premier European AI festival — Thor submitted but was not accepted for the 2026 edition. Good target for 2027 with stronger track record.</t>
  </si>
  <si>
    <t xml:space="preserve">An annual event in Cannes, France that gathers thousands of attendees to discuss and showcase the latest advancements in AI. Features conferences, speaker sessions, and exhibitions. 10,000+ participants expected, 300+ speakers from enterprise, research, and government.</t>
  </si>
  <si>
    <t xml:space="preserve">AI innovation across industries; Enterprise AI strategies; AI in healthcare, finance, manufacturing, retail; AI governance and ethics; AI research and frontier technology</t>
  </si>
  <si>
    <t xml:space="preserve">AI professionals, decision-makers, enterprise technology leaders, start-ups, researchers, international delegates. 10,000+ participants, 300+ speakers.</t>
  </si>
  <si>
    <t xml:space="preserve">Speaker application via waicf.com. Speakers responsible for own travel and accommodation.</t>
  </si>
  <si>
    <t xml:space="preserve">waicf.com</t>
  </si>
  <si>
    <t xml:space="preserve">5cefedfc-7220-4f05-b66a-7c208c82184a</t>
  </si>
  <si>
    <t xml:space="preserve">On_Discourse Summit</t>
  </si>
  <si>
    <t xml:space="preserve">March 1, 2026</t>
  </si>
  <si>
    <t xml:space="preserve">New York, NY, USA</t>
  </si>
  <si>
    <t xml:space="preserve">Exclusive NYC invite-only summit for C-suite leaders — Thor is exploring connections. Local NYC event with minimal travel; members-only format ensures high-density executive audience.</t>
  </si>
  <si>
    <t xml:space="preserve">One-day, invite-only, in-person summits to reframe how we think. ON_Discourse is a membership-based community of C-suite leaders, investors, and innovators focused on driving business transformation through the discipline of discourse.</t>
  </si>
  <si>
    <t xml:space="preserve">Business transformation through discourse; C-suite leadership; Innovation and entrepreneurship; Investment and growth strategy; Technology and AI leadership</t>
  </si>
  <si>
    <t xml:space="preserve">ON_Discourse members: C-suite leaders, investors, and innovators. Usually March if they hold one this year.</t>
  </si>
  <si>
    <t xml:space="preserve">Must be a member or have an invite or strong connection. Annual fee required (apply and get invited before cost is disclosed).</t>
  </si>
  <si>
    <t xml:space="preserve">ondiscourse.com</t>
  </si>
  <si>
    <t xml:space="preserve">*Thor looking into connections. 
Main Summit is usually held in March in NYC. 
Must be a member or have an invite or strong connection to the ON_Discourse community to be considered. Keep checking dates.</t>
  </si>
  <si>
    <t xml:space="preserve">81461952-5254-4591-9b51-0bbad22595aa</t>
  </si>
  <si>
    <t xml:space="preserve">Mobile World Congress</t>
  </si>
  <si>
    <t xml:space="preserve">March 2, 2026</t>
  </si>
  <si>
    <t xml:space="preserve">March 5, 2026</t>
  </si>
  <si>
    <t xml:space="preserve">Barcelona</t>
  </si>
  <si>
    <t xml:space="preserve">Barcelona, Spain</t>
  </si>
  <si>
    <t xml:space="preserve">101,000+</t>
  </si>
  <si>
    <t xml:space="preserve">World's largest connectivity event — massive scale and global prestige, though primary focus is mobile/telecom rather than enterprise AI. Relevant if seeking broad tech brand exposure.</t>
  </si>
  <si>
    <t xml:space="preserve">The world's largest mobile and connectivity event. 101,000+ attendees from more than 200 countries, including 8,000 CEOs and 2,700 exhibitors. Keynotes, panel discussions, and exhibitions showcasing cutting-edge products and services from global tech companies.</t>
  </si>
  <si>
    <t xml:space="preserve">Mobile and wireless technology; Connectivity and telecommunications; AI for networks and infrastructure; IoT and edge computing; 5G and beyond</t>
  </si>
  <si>
    <t xml:space="preserve">101,000+ from 200+ countries, device manufacturers, network equipment providers, wireless carriers, technology providers, content owners. 8,000 CEOs.</t>
  </si>
  <si>
    <t xml:space="preserve">Speaker fees $1,000–$5,000. Register interest via mwcbarcelona.com. Deadline: October 2026 for 2027 event.</t>
  </si>
  <si>
    <t xml:space="preserve">mwcbarcelona.com</t>
  </si>
  <si>
    <t xml:space="preserve">e503305e-50fa-4916-8216-1f4d5dcef529</t>
  </si>
  <si>
    <t xml:space="preserve">Big Data &amp; AI World London (Tech Show London)</t>
  </si>
  <si>
    <t xml:space="preserve">March 4, 2026</t>
  </si>
  <si>
    <t xml:space="preserve">ExCeL London, London, UK</t>
  </si>
  <si>
    <t xml:space="preserve">17,000+</t>
  </si>
  <si>
    <t xml:space="preserve">UK's largest data/AI event — CDOs, AI strategists, and data-driven leadership audience; themes match AI governance and operationalizing AI. Thor had a sponsorship conversation with organizers.</t>
  </si>
  <si>
    <t xml:space="preserve">UK's largest data and AI exhibition. Part of Tech Show London, draws 17,000+ attendees and 700+ speakers covering responsible AI adoption, data strategy, and measurable business value. Organized by CloserStill Media.</t>
  </si>
  <si>
    <t xml:space="preserve">Data governance; Enterprise AI adoption; AI transparency; Workforce skilling; Operational AI; Business intelligence</t>
  </si>
  <si>
    <t xml:space="preserve">CDO, CTO, Head of Data Science, AI Architect, AI Product Manager, Head of AI &amp; Data. 17,000+ attendees, 700+ speakers.</t>
  </si>
  <si>
    <t xml:space="preserve">Past event (March 2026). Future CFP via techshowlondon.co.uk or https://bigevent.io/organizer/closerstill-media/</t>
  </si>
  <si>
    <t xml:space="preserve">techshowlondon.co.uk</t>
  </si>
  <si>
    <t xml:space="preserve">techshowlondon.co.uk/big-data-ai-world</t>
  </si>
  <si>
    <t xml:space="preserve">0eb91e85-853d-4ffa-b34d-25330c9b1193</t>
  </si>
  <si>
    <t xml:space="preserve">AIBC Africa 2026</t>
  </si>
  <si>
    <t xml:space="preserve">March 9, 2026</t>
  </si>
  <si>
    <t xml:space="preserve">March 11, 2026</t>
  </si>
  <si>
    <t xml:space="preserve">Cape Town</t>
  </si>
  <si>
    <t xml:space="preserve">South Africa</t>
  </si>
  <si>
    <t xml:space="preserve">Cape Town, South Africa</t>
  </si>
  <si>
    <t xml:space="preserve">Passed — same organizer (AIBC) as Eurasia edition, similar regulatory/compliance focus. Cape Town visit could cluster with AI Summit Cape Town (November) for a future trip.</t>
  </si>
  <si>
    <t xml:space="preserve">Part of the global AIBC series, AIBC Africa focuses on AI, blockchain and digital innovation in Africa, bringing together the tech ecosystem of the continent with global participants.</t>
  </si>
  <si>
    <t xml:space="preserve">AI and blockchain in Africa; Web3 and digital innovation; African tech ecosystem; Investment and innovation; Emerging market tech</t>
  </si>
  <si>
    <t xml:space="preserve">African tech leaders, startups, investors, innovators, government and regional policymakers, international participants</t>
  </si>
  <si>
    <t xml:space="preserve">Had intro meeting with AIBC via Olga Yaroshevsky (same as Eurasia). Decided to pass.</t>
  </si>
  <si>
    <t xml:space="preserve">aibc.world/africa/</t>
  </si>
  <si>
    <t xml:space="preserve">6e93eaae-8dbe-4cc5-9925-c1d71735c146</t>
  </si>
  <si>
    <t xml:space="preserve">Economist Business Innovation Summit</t>
  </si>
  <si>
    <t xml:space="preserve">March 24, 2026</t>
  </si>
  <si>
    <t xml:space="preserve">March 25, 2026</t>
  </si>
  <si>
    <t xml:space="preserve">500+</t>
  </si>
  <si>
    <t xml:space="preserve">The Economist's flagship enterprise AI summit in London — 'From AI to ROI' theme is perfect alignment; Thor reached out personally to bypass the standard form and connect directly with speaker management.</t>
  </si>
  <si>
    <t xml:space="preserve">Empowering cross-industry leaders to innovate and explore future growth opportunities through generative AI and other emerging technologies. Theme: 'From AI to ROI.' 500+ senior executives from technology, finance, healthcare, and manufacturing. 60+ speakers, numerous debates, panel discussions, and workshops.</t>
  </si>
  <si>
    <t xml:space="preserve">AI-driven innovation and ROI; Enterprise AI strategy; AI in operations and profitability; Cross-industry AI transformation; New revenue models from AI</t>
  </si>
  <si>
    <t xml:space="preserve">500+ senior executives from technology, finance, healthcare, and manufacturing including C-suite leaders, directors, and global department heads</t>
  </si>
  <si>
    <t xml:space="preserve">Skipped online form — reached out personally to speaker manager: Caitlin Mehta (caitlinmehta@economist.com)</t>
  </si>
  <si>
    <t xml:space="preserve">events.economist.com</t>
  </si>
  <si>
    <t xml:space="preserve">dc41d62c-0331-41ed-807c-c8c9fd2d4bba</t>
  </si>
  <si>
    <t xml:space="preserve">Chief Product Officer Summit NYC</t>
  </si>
  <si>
    <t xml:space="preserve">March 26, 2026</t>
  </si>
  <si>
    <t xml:space="preserve">Exclusive invite-only NYC product leadership summit — small, curated format with hand-selected C-suite attendees; organizers reached out after submission for follow-up.</t>
  </si>
  <si>
    <t xml:space="preserve">An elite cohort of C-suite product leaders gathered for frank, high-level discussions designed to turn toughest problems into shared, actionable frameworks. Every attendee is hand-selected to ensure peer-level conversations and genuine connections.</t>
  </si>
  <si>
    <t xml:space="preserve">Strategic product leadership; C-suite decision frameworks; Product-led AI transformation; Innovation and growth strategy; Executive peer learning</t>
  </si>
  <si>
    <t xml:space="preserve">Hand-selected C-suite product leaders (CPOs, VPs of Product) ensuring peer-level conversations with genuine connections</t>
  </si>
  <si>
    <t xml:space="preserve">Submitted via online request form. Organizers reached out for follow-up after submission.</t>
  </si>
  <si>
    <t xml:space="preserve">chiefproductofficersummit.com</t>
  </si>
  <si>
    <t xml:space="preserve">4e20cd4a-3c53-43b8-90af-38457c338571</t>
  </si>
  <si>
    <t xml:space="preserve">Dubai AI Festival</t>
  </si>
  <si>
    <t xml:space="preserve">October 26, 2026</t>
  </si>
  <si>
    <t xml:space="preserve">October 27, 2026</t>
  </si>
  <si>
    <t xml:space="preserve">Dubai World Trade Centre, Dubai, UAE</t>
  </si>
  <si>
    <t xml:space="preserve">Dubai's flagship AI event at the World Trade Centre — 20,000+ global participants including C-suite executives, investors, policymakers, and AI practitioners from 100+ countries. Strong MENA brand presence.</t>
  </si>
  <si>
    <t xml:space="preserve">A large-scale international gathering focused on positioning Dubai as a global AI innovation and investment hub. Features keynotes, panels, startup showcases, and executive networking. Originally scheduled April 7–8, postponed to October 2026.</t>
  </si>
  <si>
    <t xml:space="preserve">AI innovation and infrastructure; AI investment and governance; Enterprise transformation; Workforce impact of AI; Real-world AI applications across sectors</t>
  </si>
  <si>
    <t xml:space="preserve">20,000+ global participants including C-suite executives, investors, policymakers, founders, startups, enterprise leaders, and AI practitioners from 100+ countries</t>
  </si>
  <si>
    <t xml:space="preserve">https://dubaiaifestival.com/speaker-application/</t>
  </si>
  <si>
    <t xml:space="preserve">dubaiaifestival.com</t>
  </si>
  <si>
    <t xml:space="preserve">Originally Apr 7–8. Postponed to October.
Applied via online speaker form.</t>
  </si>
  <si>
    <t xml:space="preserve">6abbb7a3-9e42-4fd9-bcd4-b322d3c7db6a</t>
  </si>
  <si>
    <t xml:space="preserve">GITEX AI Asia</t>
  </si>
  <si>
    <t xml:space="preserve">April 10, 2026</t>
  </si>
  <si>
    <t xml:space="preserve">Marina Bay Sands, Singapore</t>
  </si>
  <si>
    <t xml:space="preserve">23,000+</t>
  </si>
  <si>
    <t xml:space="preserve">GITEX's Asian flagship — 23,000+ tech executives, 600+ global enterprises, strong APAC enterprise buyer presence. Good cluster with AI Summit Singapore for a Singapore trip.</t>
  </si>
  <si>
    <t xml:space="preserve">A major international tech conference and exhibition designed to accelerate digital transformation and innovation across Asia by connecting global technology ecosystems, investors, and enterprise decision-makers at Marina Bay Sands.</t>
  </si>
  <si>
    <t xml:space="preserve">Artificial intelligence; Cloud and data infrastructure; Cybersecurity; Fintech and blockchain; Digital transformation in APAC</t>
  </si>
  <si>
    <t xml:space="preserve">23,000+ tech executives, 600+ global enterprises and startups, 250+ investors and VCs, 200+ speakers, participants from 100+ countries</t>
  </si>
  <si>
    <t xml:space="preserve">https://event.gitexasia.com/2026-speaker-enquiry</t>
  </si>
  <si>
    <t xml:space="preserve">gitexasia.com</t>
  </si>
  <si>
    <t xml:space="preserve">Submitted Thor. Applied via GITEX Asia speaker form. Strong APAC enterprise audience at Marina Bay Sands.
It’s curated + partnership influenced.
Thor would like to make a connection with GITEX to do more stuff with them.</t>
  </si>
  <si>
    <t xml:space="preserve">30b9d50e-0e0e-4a28-9cc3-c56547dcf33d</t>
  </si>
  <si>
    <t xml:space="preserve">YPO: Global Entrepreneurship Summit Dubai</t>
  </si>
  <si>
    <t xml:space="preserve">YPO network summit for top-tier entrepreneurial leaders — Thor has personal contacts in the YPO ecosystem via Ajit Shah; invitation-only format with high-density CEO/founder audience.</t>
  </si>
  <si>
    <t xml:space="preserve">An annual entrepreneur-designed summit where attending YPO entrepreneurs work through real business challenges, participate in tactical workshops and expert sessions, pitch to peers, and build practical strategies.</t>
  </si>
  <si>
    <t xml:space="preserve">Entrepreneurship and business growth; Peer-to-peer problem solving; Tactical workshops and expert sessions; Investor and partner connections; Scaling and exit strategies</t>
  </si>
  <si>
    <t xml:space="preserve">Primarily YPO members and YNG entrepreneurs — seasoned founders, business leaders and executives focused on growth, scaling, and real-world execution</t>
  </si>
  <si>
    <t xml:space="preserve">Submitted speaker package via personal contact. Contact: Ajit Shah (ajit@lotusholdings.com) and Maria Luz Domingo/YPO MENA (mdomingo@ypo.org).</t>
  </si>
  <si>
    <t xml:space="preserve">ajit@lotusholdings.com | mdomingo@ypo.org</t>
  </si>
  <si>
    <t xml:space="preserve">ypo.org</t>
  </si>
  <si>
    <t xml:space="preserve">d88f6e68-336f-4409-aa07-7c717e33f2dd</t>
  </si>
  <si>
    <t xml:space="preserve">Middle East Enterprise AI &amp; Analytics Summit</t>
  </si>
  <si>
    <t xml:space="preserve">August 30, 2026</t>
  </si>
  <si>
    <t xml:space="preserve">Hyatt Regency Riyadh Olaya, Riyadh, Saudi Arabia</t>
  </si>
  <si>
    <t xml:space="preserve">Premier enterprise AI &amp; analytics summit in Saudi Arabia — senior technology and business leaders from GCC enterprises; strong MENA market access for ArcticBlue's regional expansion.</t>
  </si>
  <si>
    <t xml:space="preserve">The 11th edition of the Middle East Enterprise AI &amp; Analytics Summit brings together regional leaders and practitioners to explore how AI, data analytics, and machine learning are reshaping enterprise operations, decision-making, customer experience, and innovation.</t>
  </si>
  <si>
    <t xml:space="preserve">Enterprise AI strategy; Data analytics and ML in business; Automation and operational efficiency; Analytics-driven decision making; AI governance and risk management</t>
  </si>
  <si>
    <t xml:space="preserve">Senior technology and business leaders from enterprises across sectors — C-level executives, heads of AI/analytics/IT, innovation and digital transformation decision-makers</t>
  </si>
  <si>
    <t xml:space="preserve">Submitted speaker interest via registration form at the event website.</t>
  </si>
  <si>
    <t xml:space="preserve">enterpriseai-me.com</t>
  </si>
  <si>
    <t xml:space="preserve">meenterpriseai.com/sa/</t>
  </si>
  <si>
    <t xml:space="preserve">311e0fcc-c505-4c88-9c76-2cea7bd68fcd</t>
  </si>
  <si>
    <t xml:space="preserve">Digital Transformation Summit UAE</t>
  </si>
  <si>
    <t xml:space="preserve">November 4, 2026</t>
  </si>
  <si>
    <t xml:space="preserve">Sofitel, Abu Dhabi, UAE</t>
  </si>
  <si>
    <t xml:space="preserve">Abu Dhabi enterprise digital transformation summit — 200+ senior C-suite technology leaders; part of a global summit series with recurring speaker relationships.</t>
  </si>
  <si>
    <t xml:space="preserve">A curated summit for senior technology and digital leaders to explore how digital transformation drives business value, operational efficiency, and technology-enabled growth. Sessions cover AI, Web 3.0, IoT, cybersecurity, quantum computing, and emerging technologies.</t>
  </si>
  <si>
    <t xml:space="preserve">Enterprise digital transformation; AI and machine learning in business; IoT and Industry 4.0; Cybersecurity; Quantum and advanced computing</t>
  </si>
  <si>
    <t xml:space="preserve">200+ senior executives: CIOs, CTOs, CISOs, CDOs, heads of digital and IT functions, digital transformation directors, innovation leads</t>
  </si>
  <si>
    <t xml:space="preserve">https://digitransformationsummit.com/</t>
  </si>
  <si>
    <t xml:space="preserve">digitransformationsummit.com/uae/</t>
  </si>
  <si>
    <t xml:space="preserve">Submitted. Originally April 29; postponed to November 4. 
Registered for speaker updates.</t>
  </si>
  <si>
    <t xml:space="preserve">75b29f9e-ba2d-4071-808c-d6496ac4f364</t>
  </si>
  <si>
    <t xml:space="preserve">London Tech Week</t>
  </si>
  <si>
    <t xml:space="preserve">June 12, 2026</t>
  </si>
  <si>
    <t xml:space="preserve">Olympia London, London, UK</t>
  </si>
  <si>
    <t xml:space="preserve">Europe's largest tech festival — ideal cluster with The AI Summit London (same week); broad enterprise buyer audience across multiple sectors; high media exposure opportunity.</t>
  </si>
  <si>
    <t xml:space="preserve">Europe's largest technology festival. Runs alongside The AI Summit London. Covers AI, fintech, cybersecurity, healthtech, edtech, sustainability, and digital transformation across Olympia London and fringe events across the city. Includes main stage presentations, thematic content stages, exhibitor showcases, and networking.</t>
  </si>
  <si>
    <t xml:space="preserve">Artificial intelligence; Fintech; Cybersecurity and healthtech; Edtech and sustainability; Digital transformation and innovation</t>
  </si>
  <si>
    <t xml:space="preserve">Startups, scale-ups, large enterprises, investors, government agencies, and academic institutions. Notable exhibitors include HSBC Innovation Banking, KPMG, Tesco.</t>
  </si>
  <si>
    <t xml:space="preserve">Submitted via London Tech Week speaker form. Runs alongside The AI Summit London (June 10–11) at Tobacco Dock.</t>
  </si>
  <si>
    <t xml:space="preserve">londontechweek.com</t>
  </si>
  <si>
    <t xml:space="preserve">566665a2-cb2b-43ca-a18e-279674088df1</t>
  </si>
  <si>
    <t xml:space="preserve">HumanX Amsterdam</t>
  </si>
  <si>
    <t xml:space="preserve">September 22, 2026</t>
  </si>
  <si>
    <t xml:space="preserve">September 24, 2026</t>
  </si>
  <si>
    <t xml:space="preserve">European HumanX — same high-quality enterprise AI audience as the Las Vegas edition; Thor submitted for both editions, reinforcing ArcticBlue's human-centered AI brand across US and Europe.</t>
  </si>
  <si>
    <t xml:space="preserve">The European edition of HumanX — exploring the intersection of humans, technology, and the future of work for senior decision-makers across industries implementing responsible and human-centered AI solutions.</t>
  </si>
  <si>
    <t xml:space="preserve">Human-centered AI; Future of work; Responsible AI implementation; Enterprise AI strategy; AI ethics and leadership</t>
  </si>
  <si>
    <t xml:space="preserve">Curated: executives, technologists, AI practitioners, HR leaders, ethicists, policymakers across industries implementing human-centered AI</t>
  </si>
  <si>
    <t xml:space="preserve">Submitted via humanx.co/speak (same application as Las Vegas edition). Merit-based selection.</t>
  </si>
  <si>
    <t xml:space="preserve">humanx.co/amsterdam</t>
  </si>
  <si>
    <t xml:space="preserve">8c276165-3b5d-4658-a0f6-ba8409978993</t>
  </si>
  <si>
    <t xml:space="preserve">Digital Transformation Summit Doha</t>
  </si>
  <si>
    <t xml:space="preserve">September 29, 2026</t>
  </si>
  <si>
    <t xml:space="preserve">Doha, Qatar</t>
  </si>
  <si>
    <t xml:space="preserve">Qatar enterprise digital transformation summit — strong follow-up to Web Summit Doha (Feb) for ArcticBlue's Gulf presence; senior CIO/CTO/CISO decision-maker audience.</t>
  </si>
  <si>
    <t xml:space="preserve">A one-day industry conference focused on accelerating enterprise digital transformation strategies in Qatar and the wider region. Gathers public and private sector technology leaders to explore digital strategies, AI adoption, secure systems, and modern infrastructure.</t>
  </si>
  <si>
    <t xml:space="preserve">Digital transformation; AI and emerging technology; Secure digital infrastructure; Data strategy and analytics; Cybersecurity and automation</t>
  </si>
  <si>
    <t xml:space="preserve">CIOs, CTOs, CISOs, CDOs, digital transformation heads, data and analytics leaders, IT infrastructure heads, innovation leads from public and private organizations</t>
  </si>
  <si>
    <t xml:space="preserve">digitaltransformationsummit.qa</t>
  </si>
  <si>
    <t xml:space="preserve">digitransformationsummit.com/qatar/</t>
  </si>
  <si>
    <t xml:space="preserve">b3f299b4-3bc0-4aef-96da-1b05bc3abf03</t>
  </si>
  <si>
    <t xml:space="preserve">AIBC Rome</t>
  </si>
  <si>
    <t xml:space="preserve">November 2, 2026</t>
  </si>
  <si>
    <t xml:space="preserve">November 5, 2026</t>
  </si>
  <si>
    <t xml:space="preserve">Rome</t>
  </si>
  <si>
    <t xml:space="preserve">Italy</t>
  </si>
  <si>
    <t xml:space="preserve">Rome, Italy</t>
  </si>
  <si>
    <t xml:space="preserve">Thor is interested in the Rome edition specifically — intro meeting already held with AIBC via Olga Yaroshevsky. Rome is a strong cultural-business context for senior relationship building in Fall 2026.</t>
  </si>
  <si>
    <t xml:space="preserve">Part of the global AIBC/SiGMA series, bringing together leaders in artificial intelligence, blockchain and emerging technologies in Rome, fostering innovation, investment and partnerships across frontier tech sectors.</t>
  </si>
  <si>
    <t xml:space="preserve">AI and blockchain; Web3 and emerging technology; European tech ecosystem; Investment and innovation; Frontier technology</t>
  </si>
  <si>
    <t xml:space="preserve">Industry leaders, startups, investors, policymakers, technology visionaries and government representatives from Europe and globally</t>
  </si>
  <si>
    <t xml:space="preserve">In contact with AIBC via Olga Yaroshevsky (SiGMA AIBC). Intro meeting already held.</t>
  </si>
  <si>
    <t xml:space="preserve">aibc.world/rome</t>
  </si>
  <si>
    <t xml:space="preserve">aibc.world/europe/</t>
  </si>
  <si>
    <t xml:space="preserve">81bbbba6-a8c0-45be-a9d2-b34fbb20482b</t>
  </si>
  <si>
    <t xml:space="preserve">Africa Tech Festival</t>
  </si>
  <si>
    <t xml:space="preserve">November 17, 2026</t>
  </si>
  <si>
    <t xml:space="preserve">November 19, 2026</t>
  </si>
  <si>
    <t xml:space="preserve">Cape Town International Convention Centre, Cape Town, South Africa</t>
  </si>
  <si>
    <t xml:space="preserve">Africa's leading tech festival — incorporates The AI Summit Cape Town; strong platform for ArcticBlue's global brand expansion into African enterprise market.</t>
  </si>
  <si>
    <t xml:space="preserve">A leading technology event in Africa bringing together innovators, leaders, and policymakers to discuss the continent's digital future. Incorporates The AI Summit Cape Town as part of the event.</t>
  </si>
  <si>
    <t xml:space="preserve">AI and digital transformation in Africa; Tech innovation and investment; Startup and enterprise ecosystem; AI literacy and governance; Emerging market technology</t>
  </si>
  <si>
    <t xml:space="preserve">Tech leaders, startup founders, enterprise executives, investors, policymakers, and innovators across Africa and globally</t>
  </si>
  <si>
    <t xml:space="preserve">Submitted. Contact: info@africatechfestival.com. Apply to be a speaker by sending an email directly.</t>
  </si>
  <si>
    <t xml:space="preserve">info@africatechfestival.com</t>
  </si>
  <si>
    <t xml:space="preserve">africatechfestival.com</t>
  </si>
  <si>
    <t xml:space="preserve">50bd7281-a61b-4d4f-a9aa-62be5887b29f</t>
  </si>
  <si>
    <t xml:space="preserve">The AI Summit Cape Town</t>
  </si>
  <si>
    <t xml:space="preserve">The AI Summit's Africa debut — same premium enterprise AI brand as London, Singapore, and New York; part of the four-city AI Summit Series submission strategy.</t>
  </si>
  <si>
    <t xml:space="preserve">The AI Summit Cape Town 2026 joins the Africa Tech Festival, solidifying Cape Town's position as a hub for ground-breaking tech discussions. Part of The AI Summit Series — a global leader in AI events since 2016.</t>
  </si>
  <si>
    <t xml:space="preserve">Enterprise AI adoption in Africa; AI governance and responsible deployment; AI strategy for emerging markets; AI infrastructure and innovation; Leadership decision-making with AI</t>
  </si>
  <si>
    <t xml:space="preserve">Enterprise leaders, AI practitioners, innovators, and policymakers focused on AI adoption in Africa and globally</t>
  </si>
  <si>
    <t xml:space="preserve">Submitted as part of The AI Summit Series (London, Singapore, NYC, Cape Town). Applied via speaker form.</t>
  </si>
  <si>
    <t xml:space="preserve">capetown.theaisummit.com</t>
  </si>
  <si>
    <t xml:space="preserve">africatechfestival.com/ai-summit/</t>
  </si>
  <si>
    <t xml:space="preserve">f5bbc096-9fac-48d1-859a-14b033189415</t>
  </si>
  <si>
    <t xml:space="preserve">Web Summit Lisbon</t>
  </si>
  <si>
    <t xml:space="preserve">November 9, 2026</t>
  </si>
  <si>
    <t xml:space="preserve">November 12, 2026</t>
  </si>
  <si>
    <t xml:space="preserve">Lisbon</t>
  </si>
  <si>
    <t xml:space="preserve">Portugal</t>
  </si>
  <si>
    <t xml:space="preserve">Lisbon, Portugal</t>
  </si>
  <si>
    <t xml:space="preserve">70,000+</t>
  </si>
  <si>
    <t xml:space="preserve">World's largest tech conference — 70,000+ attendees from 160+ countries; Thor has personal contact with Web Summit organizers (Ciara Haley) from Web Summit Doha; high media exposure for ArcticBlue's global brand.</t>
  </si>
  <si>
    <t xml:space="preserve">Web Summit Lisbon is the world's largest technology conference, drawing 70,000+ attendees from 160+ countries, including startup founders, Fortune 500 executives, venture capitalists, policymakers, technologists, and global media.</t>
  </si>
  <si>
    <t xml:space="preserve">Global technology trends; AI and startup ecosystem; Investment and entrepreneurship; Enterprise digital transformation; Future of work and technology</t>
  </si>
  <si>
    <t xml:space="preserve">70,000+ attendees from 160+ countries: startup founders, Fortune 500 executives, VCs, policymakers, technologists, global media</t>
  </si>
  <si>
    <t xml:space="preserve">websummit.com</t>
  </si>
  <si>
    <t xml:space="preserve">63b60128-5b7a-4283-87b9-c6cc3e4a6e8b</t>
  </si>
  <si>
    <t xml:space="preserve">The AI Summit New York</t>
  </si>
  <si>
    <t xml:space="preserve">December 9, 2026</t>
  </si>
  <si>
    <t xml:space="preserve">December 10, 2026</t>
  </si>
  <si>
    <t xml:space="preserve">Jacob K. Javits Convention Center, New York, NY</t>
  </si>
  <si>
    <t xml:space="preserve">The AI Summit's NYC flagship — same premium AI brand as London, Singapore, and Cape Town editions; Javits Center = massive enterprise buyer audience; local NYC event for ArcticBlue's home base.</t>
  </si>
  <si>
    <t xml:space="preserve">A flagship enterprise AI conference at the Javits Center in New York City. Part of The AI Summit Series — the same premium enterprise AI event brand as London, Singapore, and Cape Town. Focused on commercial AI from breakthroughs to bottom-line impact.</t>
  </si>
  <si>
    <t xml:space="preserve">Enterprise AI strategy and ROI; Commercial AI deployment; AI governance and ethics; Agentic AI for enterprise; AI industry leadership</t>
  </si>
  <si>
    <t xml:space="preserve">Enterprise AI leaders: CTO, CIO, Head of Innovation, AI Engineers, Data Scientists, Policymakers, and global AI ecosystem players</t>
  </si>
  <si>
    <t xml:space="preserve">Submitted as part of The AI Summit Series (London, Singapore, NYC, Cape Town). Applied via online speaker form at newyork.theaisummit.com.</t>
  </si>
  <si>
    <t xml:space="preserve">newyork.theaisummit.com</t>
  </si>
  <si>
    <t xml:space="preserve">841146de-1cee-4754-824d-2be99a655fc4</t>
  </si>
  <si>
    <t xml:space="preserve">ATxSG — Asia Tech x Singapore</t>
  </si>
  <si>
    <t xml:space="preserve">Singapore's flagship national tech festival — co-located with The AI Summit Singapore at ATxEnterprise; strong public-sector support and APAC enterprise network.</t>
  </si>
  <si>
    <t xml:space="preserve">Singapore's national flagship tech festival, co-hosting The AI Summit Singapore at ATxEnterprise. Brings together enterprise tech leaders, startups, investors, and government stakeholders to explore AI, digital transformation, and innovation across Asia.</t>
  </si>
  <si>
    <t xml:space="preserve">AI governance and responsible AI; Enterprise digital transformation in APAC; Operational readiness and AI infrastructure; Leadership decision-making with AI; Applied AI use cases across sectors</t>
  </si>
  <si>
    <t xml:space="preserve">Enterprise tech leaders, government stakeholders, startups, investors, and AI practitioners from across Asia and globally</t>
  </si>
  <si>
    <t xml:space="preserve">https://asiatechxsg.com/call-for-speakers/</t>
  </si>
  <si>
    <t xml:space="preserve">atxsg.sg</t>
  </si>
  <si>
    <t xml:space="preserve">3d4b09c4-3802-4c09-998e-03220b627c1c</t>
  </si>
  <si>
    <t xml:space="preserve">Post-Exit Founders (PEF) Podcast</t>
  </si>
  <si>
    <t xml:space="preserve">TBD</t>
  </si>
  <si>
    <t xml:space="preserve">Remote</t>
  </si>
  <si>
    <t xml:space="preserve">Podcast</t>
  </si>
  <si>
    <t xml:space="preserve">Remote (Podcast)</t>
  </si>
  <si>
    <t xml:space="preserve">Niche founder-and-investor audience; long-form podcast format enables storytelling about ArcticBlue's enterprise AI transformation expertise. Ongoing opportunity with minimal time commitment.</t>
  </si>
  <si>
    <t xml:space="preserve">Post-Exit Founders (PEF) is a podcast for founders who have navigated acquisitions, IPOs, or other exit events. Topics span entrepreneurship, AI adoption, and life after exit.</t>
  </si>
  <si>
    <t xml:space="preserve">Founder journeys and post-exit experience; AI adoption in business transformation; Enterprise AI strategy</t>
  </si>
  <si>
    <t xml:space="preserve">Founders, entrepreneurs, investors, and executives interested in post-exit stories and AI transformation</t>
  </si>
  <si>
    <t xml:space="preserve">Submitted speaker package. Organizer will contact if chosen.</t>
  </si>
  <si>
    <t xml:space="preserve">Connor — connor@pef.xyz</t>
  </si>
  <si>
    <t xml:space="preserve">aff35422-ab8e-4989-8e8d-0ea239c80b88</t>
  </si>
  <si>
    <t xml:space="preserve">The Millennium Alliance – Ongoing Events</t>
  </si>
  <si>
    <t xml:space="preserve">Thor; Joe</t>
  </si>
  <si>
    <t xml:space="preserve">Various</t>
  </si>
  <si>
    <t xml:space="preserve">Various, USA and Europe</t>
  </si>
  <si>
    <t xml:space="preserve">Enterprise; HR; Finance; Health; Tech; Security; AI; Sales; Compliance</t>
  </si>
  <si>
    <t xml:space="preserve">Rolling</t>
  </si>
  <si>
    <t xml:space="preserve">Recurring access to senior enterprise decision-makers across multiple markets; sponsor-gated speaking slots provide predictable pipeline for ArcticBlue positioning.</t>
  </si>
  <si>
    <t xml:space="preserve">The Millennium Alliance runs a rolling series of C-suite digital transformation and AI assemblies for enterprise executives across the US and Europe. Events include topic-specific one-day summits for CDOs, CIOs, CAIOs, and AI strategy leaders.</t>
  </si>
  <si>
    <t xml:space="preserve">Enterprise AI maturity and strategy; Digital transformation leadership; C-suite executive networking; AI governance and organizational change</t>
  </si>
  <si>
    <t xml:space="preserve">Chief Data Officers, Chief AI Officers, VP AI/Data, enterprise technology executives</t>
  </si>
  <si>
    <t xml:space="preserve">https://mill-all.com/contact-us/#apply-to-become-a-speaker
(Can apply for multiple speaking tracks + dates - make sure you check the boxes at the bottom of the page!)
--------------------------------------------------------------
Open Speaker Submission Event List: FOR CHRO/HR TRACKS (ALREADY INPUT INTO TRACKER LIST)
Transformational CHRO Assembly – June 2026 -June 9–10, 2026 | The Marriott Biscayne Bay, Miami
→ mill-all.com/assemblies/transformational-chro-assembly-june-2026/
Transformational CHRO Assembly – August 2026 - August 18–19, 2026 | The Four Seasons, Austin
→ mill-all.com/assemblies/transformational-chro-assembly-august-2026/
Transformational CHRO Assembly Europe – September 2026 - September 9–10, 2026 | The Novotel Amsterdam City, Amsterdam
→ mill-all.com/assemblies/transformational-chro-assembly-europe-september-2026/
Transformational CHRO Assembly – November 2026 - November 17–18, 2026 | The Whitley, Atlanta Buckhead
→ mill-all.com/assemblies/transformational-chro-assembly-november-2026/
--------------------------------------------------------------
Sponsorship Only events: FOR CHRO/HR TRACKS
Transformational CIOs &amp; CHROs in the AI Era – May 2026	Spring Studios, NYC
Transformational CHRO Assembly – February 2027	Feb 2–3, 2027	Location TBD
Transformational CHRO Assembly – April 2027	Apr 8–9, 2027	Location TBD
Transformational CHRO Assembly – June 2027	Jun 8–9, 2027	Location TBD 
Transformational CHRO Assembly – August 2027	Aug 17–18, 2027	Location TBD
Transformational CHRO Assembly Europe – September 2027	Sep 8–9, 2027	Location TBD
Transformational CHRO Assembly – November 2027	Nov 16–17, 2027	Location TBD</t>
  </si>
  <si>
    <t xml:space="preserve">millenniumalliance.com</t>
  </si>
  <si>
    <t xml:space="preserve">One application for multiple speaking tracks - update all events + dates in the Event Tracker if submitted to multiple Millennium Alliance events.
* APPLY each year and have perplexity scan all the events for which ones are open speaker routes to import them to the tracker list (and which are sponsorship only events.)
Submitted Thor for multiple tracks. 
Also, submitted Joe for HR events.
(They followed up with sponsor invitation to participate as part of Millennium Alliance's curated assembly series= Sponsorship required for speaking slot.)
*Open speaking list and sponsorship only list is below in speaker section.</t>
  </si>
  <si>
    <t xml:space="preserve">7ad79a17-a53e-42d6-8a6b-7e4f9a2bd3fb</t>
  </si>
  <si>
    <t xml:space="preserve">ICBDT International Conference on Business and Digital Technology</t>
  </si>
  <si>
    <t xml:space="preserve">November 26, 2025</t>
  </si>
  <si>
    <t xml:space="preserve">November 27, 2025</t>
  </si>
  <si>
    <t xml:space="preserve">Bahrain</t>
  </si>
  <si>
    <t xml:space="preserve">Middle East academic and enterprise audience; potential relationship-building with Gulf region academic and business networks for future ArcticBlue engagements.</t>
  </si>
  <si>
    <t xml:space="preserve">Academic and practitioner conference on the intersection of business strategy and digital technology, hosted in Bahrain. Covers AI, digital transformation, and innovation across the Gulf region.</t>
  </si>
  <si>
    <t xml:space="preserve">Digital transformation; AI and business strategy; Gulf region technology leadership</t>
  </si>
  <si>
    <t xml:space="preserve">Academics, enterprise technology leaders, government stakeholders in the GCC region</t>
  </si>
  <si>
    <t xml:space="preserve">Reached out personally to conference organizers.</t>
  </si>
  <si>
    <t xml:space="preserve">0231b797-2e43-461a-ad8f-353a271db130</t>
  </si>
  <si>
    <t xml:space="preserve">GWU Student Session</t>
  </si>
  <si>
    <t xml:space="preserve">Booked</t>
  </si>
  <si>
    <t xml:space="preserve">Northeast</t>
  </si>
  <si>
    <t xml:space="preserve">Zoom</t>
  </si>
  <si>
    <t xml:space="preserve">N/A (booked)</t>
  </si>
  <si>
    <t xml:space="preserve">University audience pipeline; builds next-generation brand awareness and early relationships with future enterprise decision-makers. Low time commitment with high goodwill value.</t>
  </si>
  <si>
    <t xml:space="preserve">George Washington University student engagement session on AI and entrepreneurship, delivered remotely via Zoom. Includes a business contest sponsorship component for student teams.</t>
  </si>
  <si>
    <t xml:space="preserve">AI literacy for students; Entrepreneurship and AI; Future of work and technology</t>
  </si>
  <si>
    <t xml:space="preserve">GWU students, faculty, and student entrepreneurs</t>
  </si>
  <si>
    <t xml:space="preserve">Booked via direct university contact.</t>
  </si>
  <si>
    <t xml:space="preserve">Jessica Vodilka — jvodilka@email.gwu.edu</t>
  </si>
  <si>
    <t xml:space="preserve">7af201f1-c83e-423b-9ccb-e5c5ea512240</t>
  </si>
  <si>
    <t xml:space="preserve">Aspen Institute Socrates Program</t>
  </si>
  <si>
    <t xml:space="preserve">Attending</t>
  </si>
  <si>
    <t xml:space="preserve">February 6, 2026</t>
  </si>
  <si>
    <t xml:space="preserve">February 9, 2026</t>
  </si>
  <si>
    <t xml:space="preserve">Mountain West</t>
  </si>
  <si>
    <t xml:space="preserve">Aspen, CO</t>
  </si>
  <si>
    <t xml:space="preserve">N/A (attending)</t>
  </si>
  <si>
    <t xml:space="preserve">Exclusive network of senior executives and thought leaders; pure participation and dialogue rather than speaking — ideal for peer relationship-building at the highest level.</t>
  </si>
  <si>
    <t xml:space="preserve">The Aspen Institute's "Socrates Winter" is an invitation-only executive seminar series using the Socratic dialogue method to explore leadership, ethics, and society. No external company speakers — participants engage as individuals.</t>
  </si>
  <si>
    <t xml:space="preserve">Leadership and ethics; Technology and society; Executive dialogue and philosophy</t>
  </si>
  <si>
    <t xml:space="preserve">Senior executives, government leaders, academics, and thought leaders (invitation only)</t>
  </si>
  <si>
    <t xml:space="preserve">Invitation only — attending as a participant.</t>
  </si>
  <si>
    <t xml:space="preserve">aspeninstitute.org</t>
  </si>
  <si>
    <t xml:space="preserve">8967884f-b150-4eda-b1cc-fa503e4fd723</t>
  </si>
  <si>
    <t xml:space="preserve">PULSE NYC (EMC3)</t>
  </si>
  <si>
    <t xml:space="preserve">February 27, 2026</t>
  </si>
  <si>
    <t xml:space="preserve">New York City</t>
  </si>
  <si>
    <t xml:space="preserve">New York City, NY</t>
  </si>
  <si>
    <t xml:space="preserve">NYC home turf; EMC3 personal contact relationship; booked speaking slot provides direct access to senior enterprise and tech decision-makers.</t>
  </si>
  <si>
    <t xml:space="preserve">PULSE is EMC3's flagship NYC event bringing together enterprise leaders, innovators, and technologists. Known for high-quality production and curated executive audience in New York City.</t>
  </si>
  <si>
    <t xml:space="preserve">Enterprise innovation; Technology leadership; AI and digital transformation</t>
  </si>
  <si>
    <t xml:space="preserve">Enterprise executives, technology leaders, innovators, and investors in the NYC metro area</t>
  </si>
  <si>
    <t xml:space="preserve">Booked via personal EMC3 contacts.</t>
  </si>
  <si>
    <t xml:space="preserve">Ewan Jamieson + Daniel Curtis</t>
  </si>
  <si>
    <t xml:space="preserve">emc3.com</t>
  </si>
  <si>
    <t xml:space="preserve">7d7085d1-518d-4073-8162-5b707f412929</t>
  </si>
  <si>
    <t xml:space="preserve">Nvidia GTC Conference 2026</t>
  </si>
  <si>
    <t xml:space="preserve">March 15, 2026</t>
  </si>
  <si>
    <t xml:space="preserve">March 19, 2026</t>
  </si>
  <si>
    <t xml:space="preserve">San Jose Convention Center, San Jose, CA</t>
  </si>
  <si>
    <t xml:space="preserve">Massive AI ecosystem gathering; attending to stay current on Nvidia's AI platform direction and build relationships with enterprise AI practitioners in the Bay Area.</t>
  </si>
  <si>
    <t xml:space="preserve">Nvidia's premier GPU Technology Conference — one of the world's largest AI and accelerated computing conferences. Draws 20,000+ developers, researchers, and enterprise AI leaders to explore the latest in AI, generative AI, data centers, and robotics.</t>
  </si>
  <si>
    <t xml:space="preserve">AI infrastructure and GPU computing; Generative AI at scale; Enterprise AI deployment; AI research and developer ecosystem</t>
  </si>
  <si>
    <t xml:space="preserve">AI researchers, developers, enterprise AI leaders, data scientists, technology executives</t>
  </si>
  <si>
    <t xml:space="preserve">Attending (not speaking). Speaker slots are Nvidia-internal or by partnership.</t>
  </si>
  <si>
    <t xml:space="preserve">nvidia.com/gtc</t>
  </si>
  <si>
    <t xml:space="preserve">9a23c088-0297-4827-8c69-d1b7b2fcb837</t>
  </si>
  <si>
    <t xml:space="preserve">InnovEYtion Summit 2026</t>
  </si>
  <si>
    <t xml:space="preserve">In progress</t>
  </si>
  <si>
    <t xml:space="preserve">March 23, 2026</t>
  </si>
  <si>
    <t xml:space="preserve">Venezuela</t>
  </si>
  <si>
    <t xml:space="preserve">N/A (in progress)</t>
  </si>
  <si>
    <t xml:space="preserve">Inbound invitation from EY Venezuela partner; provides ArcticBlue presence in the Latin American enterprise market and EY network relationship.</t>
  </si>
  <si>
    <t xml:space="preserve">EY Venezuela's InnovEYtion Summit is an enterprise innovation event hosted by EY's Venezuela practice, bringing together senior business leaders and executives to explore AI, digital transformation, and business innovation.</t>
  </si>
  <si>
    <t xml:space="preserve">Enterprise AI and innovation; Digital transformation in Latin America; Leadership and business strategy</t>
  </si>
  <si>
    <t xml:space="preserve">EY clients, senior executives, enterprise technology and business leaders in Venezuela and Latin America</t>
  </si>
  <si>
    <t xml:space="preserve">Inbound invitation — EY Venezuela partner reached out directly.</t>
  </si>
  <si>
    <t xml:space="preserve">d54a9dca-c35d-4e8c-a753-07d9748fab38</t>
  </si>
  <si>
    <t xml:space="preserve">FII Miami 2026</t>
  </si>
  <si>
    <t xml:space="preserve">March 27, 2026</t>
  </si>
  <si>
    <t xml:space="preserve">Southeast</t>
  </si>
  <si>
    <t xml:space="preserve">High-caliber FII network with global investors and government leaders; attending to build relationships and stay connected to the FII ecosystem for future speaking opportunities.</t>
  </si>
  <si>
    <t xml:space="preserve">The Future Investment Initiative (FII) Institute's Miami event brings together global business leaders, investors, and government officials to discuss investment and the future of economies, technology, and sustainability.</t>
  </si>
  <si>
    <t xml:space="preserve">Global investment and innovation; Technology and the future economy; AI and sustainability</t>
  </si>
  <si>
    <t xml:space="preserve">Global investors, government officials, enterprise CEOs, and technology leaders</t>
  </si>
  <si>
    <t xml:space="preserve">Attending (not speaking). Personal contacts emailed.</t>
  </si>
  <si>
    <t xml:space="preserve">communications@fii-institute.org</t>
  </si>
  <si>
    <t xml:space="preserve">fii-institute.org</t>
  </si>
  <si>
    <t xml:space="preserve">661f2cb0-a3c9-4845-8b46-2482b1b1fc27</t>
  </si>
  <si>
    <t xml:space="preserve">Skoll World Forum 2026</t>
  </si>
  <si>
    <t xml:space="preserve">Oxford</t>
  </si>
  <si>
    <t xml:space="preserve">Oxford, UK</t>
  </si>
  <si>
    <t xml:space="preserve">Prestigious social impact network with senior business and NGO leaders; ArcticBlue's AI-for-good and responsible AI positioning aligns with Skoll's mission-driven audience.</t>
  </si>
  <si>
    <t xml:space="preserve">The Skoll World Forum is one of the world's leading gatherings of social entrepreneurs, impact investors, and change-makers. Held at the Saïd Business School in Oxford, it convenes leaders working on the world's most pressing problems.</t>
  </si>
  <si>
    <t xml:space="preserve">Social entrepreneurship and AI; Responsible AI and ethical technology; Impact investing and innovation</t>
  </si>
  <si>
    <t xml:space="preserve">Social entrepreneurs, impact investors, NGO leaders, corporate social responsibility executives, academics</t>
  </si>
  <si>
    <t xml:space="preserve">In progress — personal contacts being leveraged.</t>
  </si>
  <si>
    <t xml:space="preserve">skoll.org</t>
  </si>
  <si>
    <t xml:space="preserve">4dc3ba64-41cf-47c8-9753-52b54058583f</t>
  </si>
  <si>
    <t xml:space="preserve">Business School Engagement Collective</t>
  </si>
  <si>
    <t xml:space="preserve">California</t>
  </si>
  <si>
    <t xml:space="preserve">West Coast</t>
  </si>
  <si>
    <t xml:space="preserve">Next-generation audience development; business school network pipeline for future ArcticBlue relationships. Joe-led engagement.</t>
  </si>
  <si>
    <t xml:space="preserve">Business school engagement session organized and delivered by Joe, connecting ArcticBlue with MBA and business school students in California to discuss AI, entrepreneurship, and enterprise transformation.</t>
  </si>
  <si>
    <t xml:space="preserve">AI and business strategy; Entrepreneurship; Enterprise technology for future leaders</t>
  </si>
  <si>
    <t xml:space="preserve">MBA and business school students, faculty, alumni in California</t>
  </si>
  <si>
    <t xml:space="preserve">Booked — self submitted by Joe.</t>
  </si>
  <si>
    <t xml:space="preserve">e08f33c0-f12b-453b-b20d-753caf43e0ed</t>
  </si>
  <si>
    <t xml:space="preserve">YPO Geopolitical Summit London</t>
  </si>
  <si>
    <t xml:space="preserve">Exclusive YPO peer network of CEOs and presidents; geopolitical and business leadership focus provides context for ArcticBlue's enterprise AI positioning.</t>
  </si>
  <si>
    <t xml:space="preserve">YPO (Young Presidents' Organization) Geopolitical Summit in London brings together YPO members to discuss geopolitical trends, their business implications, and leadership in uncertain times.</t>
  </si>
  <si>
    <t xml:space="preserve">Geopolitics and business strategy; Leadership in uncertain times; AI and global business</t>
  </si>
  <si>
    <t xml:space="preserve">YPO members — CEOs, presidents, and senior business leaders</t>
  </si>
  <si>
    <t xml:space="preserve">Attending (not speaking).</t>
  </si>
  <si>
    <t xml:space="preserve">54d15e77-9ac6-4217-8f5d-5201afeecbd8</t>
  </si>
  <si>
    <t xml:space="preserve">Oslo Freedom Forum 2026</t>
  </si>
  <si>
    <t xml:space="preserve">Oslo</t>
  </si>
  <si>
    <t xml:space="preserve">Norway</t>
  </si>
  <si>
    <t xml:space="preserve">Oslo, Norway</t>
  </si>
  <si>
    <t xml:space="preserve">High-profile international platform with global media and thought leader coverage; connects ArcticBlue to the intersection of technology, freedom, and responsible AI.</t>
  </si>
  <si>
    <t xml:space="preserve">The Oslo Freedom Forum is an annual human rights conference hosted by the Human Rights Foundation, bringing together activists, technologists, artists, and business leaders to discuss freedom and democracy.</t>
  </si>
  <si>
    <t xml:space="preserve">Technology and human rights; AI and democracy; Digital freedom and governance</t>
  </si>
  <si>
    <t xml:space="preserve">Human rights activists, journalists, technologists, NGO leaders, government officials, business executives</t>
  </si>
  <si>
    <t xml:space="preserve">hrf.org/oslofreedomforum</t>
  </si>
  <si>
    <t xml:space="preserve">c59e5f7b-fecf-43f7-8256-5c2228c6a775</t>
  </si>
  <si>
    <t xml:space="preserve">FII PRIORITY Europe 2026</t>
  </si>
  <si>
    <t xml:space="preserve">June 19, 2026</t>
  </si>
  <si>
    <t xml:space="preserve">Prestigious FII network with global heads of state, sovereign wealth funds, and enterprise CEOs; Europe edition provides strong Middle East and European investor connections.</t>
  </si>
  <si>
    <t xml:space="preserve">FII PRIORITY Europe is the Future Investment Initiative Institute's flagship European forum, held in Rome. Brings together global investors, heads of state, and business leaders to discuss the future of investment, technology, and global economies.</t>
  </si>
  <si>
    <t xml:space="preserve">Global investment and AI; Technology and the future economy; Sustainability and innovation</t>
  </si>
  <si>
    <t xml:space="preserve">Global investors, government ministers, enterprise CEOs, sovereign wealth fund representatives</t>
  </si>
  <si>
    <t xml:space="preserve">Speaking is sponsorship-only or by FII Institute invitation.</t>
  </si>
  <si>
    <t xml:space="preserve">b65e98db-4363-4629-9248-e5d038c18330</t>
  </si>
  <si>
    <t xml:space="preserve">UXPA International 2026 Conference</t>
  </si>
  <si>
    <t xml:space="preserve">Joe</t>
  </si>
  <si>
    <t xml:space="preserve">Southwest</t>
  </si>
  <si>
    <t xml:space="preserve">Joe-led engagement with UX/product design community; ArcticBlue's human-centered AI approach resonates strongly with this audience.</t>
  </si>
  <si>
    <t xml:space="preserve">UXPA International is the premier conference for UX research and design professionals. The 2026 conference brings together UX practitioners, researchers, and designers to explore human-centered design, AI-driven experiences, and emerging interaction patterns.</t>
  </si>
  <si>
    <t xml:space="preserve">Human-centered AI design; UX research and AI; AI-driven product experiences</t>
  </si>
  <si>
    <t xml:space="preserve">UX researchers, product designers, UX managers, and digital product leaders</t>
  </si>
  <si>
    <t xml:space="preserve">uxpa.org</t>
  </si>
  <si>
    <t xml:space="preserve">https://uxpa2026.org/</t>
  </si>
  <si>
    <t xml:space="preserve">Booked. Self submitted by Joe.</t>
  </si>
  <si>
    <t xml:space="preserve">d6db5313-91ac-4fb6-9f29-7998e5f196c2</t>
  </si>
  <si>
    <t xml:space="preserve">GWU KIC networking session - DC</t>
  </si>
  <si>
    <t xml:space="preserve">East Coast</t>
  </si>
  <si>
    <t xml:space="preserve">1957 E Street NW, Washington, DC</t>
  </si>
  <si>
    <t xml:space="preserve">N/A</t>
  </si>
  <si>
    <t xml:space="preserve">In-person follow-up to the February GWU Zoom session; DC location adds policy and government-adjacent audience to the university engagement.</t>
  </si>
  <si>
    <t xml:space="preserve">George Washington University in-person engagement session in Washington DC, building on the February 2026 Zoom session. Covers AI leadership, entrepreneurship, and enterprise transformation for GWU students and faculty.</t>
  </si>
  <si>
    <t xml:space="preserve">AI leadership and education; Entrepreneurship and AI; Technology policy and enterprise AI</t>
  </si>
  <si>
    <t xml:space="preserve">GWU students, faculty, and local DC business and policy professionals</t>
  </si>
  <si>
    <t xml:space="preserve">In contact with organizers: they reached out
Vodilka, Jessica &lt;jvodilka@email.gwu.edu&gt;
Sarah Leary &lt;sarahleary@email.gwu.edu&gt;,
Bob Smith &lt;bobsmithajh@email.gwu.edu&gt;</t>
  </si>
  <si>
    <t xml:space="preserve">gw.edu</t>
  </si>
  <si>
    <t xml:space="preserve">In contact with organizers for final details.
July 9th from 6-8pm at City View Room (1957 E Street NW, Washington, DC)</t>
  </si>
  <si>
    <t xml:space="preserve">208e206a-d179-4224-9637-877faa04b78f</t>
  </si>
  <si>
    <t xml:space="preserve">ITC Vegas 2026</t>
  </si>
  <si>
    <t xml:space="preserve">Verma</t>
  </si>
  <si>
    <t xml:space="preserve">October 1, 2026</t>
  </si>
  <si>
    <t xml:space="preserve">Enterprise; AI; Insurance; Tech</t>
  </si>
  <si>
    <t xml:space="preserve">Large insurtech audience; Verma exploring a speaking slot given ArcticBlue's AI relevance to insurance sector digital transformation.</t>
  </si>
  <si>
    <t xml:space="preserve">ITC Vegas is the world's largest insurtech conference, bringing together insurance executives, investors, and technology innovators to explore the future of insurance through AI, data, and digital transformation.</t>
  </si>
  <si>
    <t xml:space="preserve">AI in insurance; Insurtech and digital transformation; Data and AI for financial services</t>
  </si>
  <si>
    <t xml:space="preserve">Insurance executives, insurtech investors, technology vendors, and innovation leaders</t>
  </si>
  <si>
    <t xml:space="preserve">Attending — Verma exploring speaking opportunity.</t>
  </si>
  <si>
    <t xml:space="preserve">itcvegas.com</t>
  </si>
  <si>
    <t xml:space="preserve">vegas.insuretechconnect.com</t>
  </si>
  <si>
    <t xml:space="preserve">Sent Verma speaking info — would need his proposal to submit.</t>
  </si>
  <si>
    <t xml:space="preserve">8c65775a-c39e-440a-b06e-a9da8acd4e77</t>
  </si>
  <si>
    <t xml:space="preserve">Protectors Insurance &amp; AI Summit</t>
  </si>
  <si>
    <t xml:space="preserve">November 11, 2026</t>
  </si>
  <si>
    <t xml:space="preserve">Inbound opportunity from Jay Weintraub (Connectiv Holdings); Verma speaker slot exploration aligns ArcticBlue with AI in the insurance and financial services vertical.</t>
  </si>
  <si>
    <t xml:space="preserve">Protectors is an AI and insurance event focused on the life and annuity sector, organized by Connectiv Holdings. Brings together insurance executives, technologists, and AI practitioners to explore AI's impact on the insurance industry.</t>
  </si>
  <si>
    <t xml:space="preserve">AI in life and annuity insurance; Enterprise AI for financial services; Insurance technology innovation</t>
  </si>
  <si>
    <t xml:space="preserve">Insurance executives, life and annuity specialists, AI practitioners, fintech investors</t>
  </si>
  <si>
    <t xml:space="preserve">Inbound inquiry from organizer — exploring Verma speaker slot.</t>
  </si>
  <si>
    <t xml:space="preserve">Jay Weintraub (Connectiv Holdings) — jay@connectiv.com</t>
  </si>
  <si>
    <t xml:space="preserve">05d69c53-0bc4-44eb-b595-3c81d2281178</t>
  </si>
  <si>
    <t xml:space="preserve">HLTH USA 2026</t>
  </si>
  <si>
    <t xml:space="preserve">November 15, 2026</t>
  </si>
  <si>
    <t xml:space="preserve">November 18, 2026</t>
  </si>
  <si>
    <t xml:space="preserve">Enterprise; Health</t>
  </si>
  <si>
    <t xml:space="preserve">Large, high-caliber health-tech audience; ArcticBlue's AI transformation expertise applies directly to healthcare's digital transformation wave. Speaker apps open mid-May, June 12 deadline.</t>
  </si>
  <si>
    <t xml:space="preserve">HLTH USA is one of the premier health technology and innovation conferences, bringing together healthcare executives, investors, payers, providers, and technology leaders. Focuses on the future of health through AI, data, and digital innovation.</t>
  </si>
  <si>
    <t xml:space="preserve">AI in healthcare; Health data and digital transformation; Enterprise AI for payers and providers; Health innovation and investment</t>
  </si>
  <si>
    <t xml:space="preserve">Healthcare executives, health-tech investors, payers, providers, digital health innovators</t>
  </si>
  <si>
    <t xml:space="preserve">https://hlth.com/events/usa/speakers/become-a-speaker</t>
  </si>
  <si>
    <t xml:space="preserve">hlth.com</t>
  </si>
  <si>
    <t xml:space="preserve">Attending. Speaker apps open mid-May; June 12 deadline. Not pay-to-play. No complimentary guest passes for speaker teams.
Deadline: 5pm June 12th, 2026</t>
  </si>
  <si>
    <t xml:space="preserve">1cadaf02-cb5f-4673-a028-dc062e8e8027</t>
  </si>
  <si>
    <t xml:space="preserve">AWS re:Invent 2026</t>
  </si>
  <si>
    <t xml:space="preserve">November 30, 2026</t>
  </si>
  <si>
    <t xml:space="preserve">December 4, 2026</t>
  </si>
  <si>
    <t xml:space="preserve">Massive enterprise cloud and AI audience; attending to network with AWS partners and enterprise customers. Speaking requires AWS partnership or joint case study co-presentation.</t>
  </si>
  <si>
    <t xml:space="preserve">AWS re:Invent is Amazon Web Services' flagship annual conference, one of the world's largest cloud and AI events with 60,000+ attendees. Features keynotes, technical sessions, workshops, and an enormous expo floor showcasing the AWS partner ecosystem.</t>
  </si>
  <si>
    <t xml:space="preserve">Cloud AI and generative AI; Enterprise cloud architecture; AWS partner ecosystem; AI infrastructure at scale</t>
  </si>
  <si>
    <t xml:space="preserve">Cloud architects, enterprise IT leaders, AWS partners, developers, and technology executives</t>
  </si>
  <si>
    <t xml:space="preserve">No external speakers. Entry via AWS partner co-presenting joint case studies with AWS team.</t>
  </si>
  <si>
    <t xml:space="preserve">reinvent.awsevents.com</t>
  </si>
  <si>
    <t xml:space="preserve">5de45fbb-e28e-4b67-ace6-3cd2384adc48</t>
  </si>
  <si>
    <t xml:space="preserve">February 10, 2027</t>
  </si>
  <si>
    <t xml:space="preserve">February 11, 2027</t>
  </si>
  <si>
    <t xml:space="preserve">Palais des Festivals, Cannes, France</t>
  </si>
  <si>
    <t xml:space="preserve">6967a602-013e-43bb-b4d7-047e976fba16</t>
  </si>
  <si>
    <t xml:space="preserve">April 29, 2027</t>
  </si>
  <si>
    <t xml:space="preserve">April 30, 2027</t>
  </si>
  <si>
    <t xml:space="preserve">594400e8-765f-4611-ba5d-e69e6b450e1b</t>
  </si>
  <si>
    <t xml:space="preserve">POSSIBLE Miami Marketing Conference &amp; Expo</t>
  </si>
  <si>
    <t xml:space="preserve">April 5, 2027</t>
  </si>
  <si>
    <t xml:space="preserve">April 7, 2027</t>
  </si>
  <si>
    <t xml:space="preserve">Miami Beach</t>
  </si>
  <si>
    <t xml:space="preserve">United States</t>
  </si>
  <si>
    <t xml:space="preserve">Florida</t>
  </si>
  <si>
    <t xml:space="preserve">POSSIBLE is a global marketing conference that brings together decision‑makers from brands, agencies, media, creative, culture, and technology for immersive experiences, purposeful conversations, and partnership building. The event features curated programs, stages, and partner-driven experiences designed to translate ideas into business results. POSSIBLE 2026 takes place in Miami Beach, April 27–29, 2026.</t>
  </si>
  <si>
    <t xml:space="preserve">Marketing strategy; Brand &amp; creative; Media &amp; advertising; Agency-client collaboration; Technology &amp; AI; Influence &amp; social media; Innovation &amp; experiential; Partnerships &amp; commerce</t>
  </si>
  <si>
    <t xml:space="preserve">Senior marketing leaders (CMOs, VPs), brand marketers, agency executives, media and creative professionals, technologists, and industry partners.</t>
  </si>
  <si>
    <t xml:space="preserve">Apply via the event's Program Guidelines / 'Apply Now' process on the POSSIBLE website; many sessions are curated/invite-only and the 2026 program is noted as sold out.</t>
  </si>
  <si>
    <t xml:space="preserve">POSSIBLE | Hyve Group, 605 Third Avenue, 26th Floor, New York, NY 10158. Contact via site 'Contact Us' and social channels (LinkedIn, Instagram).</t>
  </si>
  <si>
    <t xml:space="preserve">https://possibleevent.com/</t>
  </si>
  <si>
    <t xml:space="preserve">d39d6c15-fb3b-42f5-875c-11ca9c012582</t>
  </si>
  <si>
    <t xml:space="preserve">TED2027</t>
  </si>
  <si>
    <t xml:space="preserve">March 1, 2027</t>
  </si>
  <si>
    <t xml:space="preserve">March 4, 2027</t>
  </si>
  <si>
    <t xml:space="preserve">CA</t>
  </si>
  <si>
    <t xml:space="preserve">San Diego Convention Center</t>
  </si>
  <si>
    <t xml:space="preserve">1800+</t>
  </si>
  <si>
    <t xml:space="preserve">A five-day gathering of global innovators, creators and leaders convening to share ideas that shape the future. TED2026 is a milestone event — the final TED conference in Vancouver — featuring 80+ talks, interviews and performances focused on building a better future for all.</t>
  </si>
  <si>
    <t xml:space="preserve">Ideas &amp; Innovation; Science &amp; Research; Arts &amp; Storytelling; Leadership &amp; Social Change; Technology &amp; Design</t>
  </si>
  <si>
    <t xml:space="preserve">Global changemakers: CEOs and senior executives, innovators, creators, scientists, researchers and cultural leaders.</t>
  </si>
  <si>
    <t xml:space="preserve">By invitation and TED’s curated global search (Global Idea Search) to identify speakers.</t>
  </si>
  <si>
    <t xml:space="preserve">Contact via TED.com (Contact / Help pages)</t>
  </si>
  <si>
    <t xml:space="preserve">https://conferences.ted.com/</t>
  </si>
  <si>
    <t xml:space="preserve">955077e8-0315-4fa0-9351-e5c04373b1f8</t>
  </si>
  <si>
    <t xml:space="preserve">ITC Europe</t>
  </si>
  <si>
    <t xml:space="preserve">May 28, 2026</t>
  </si>
  <si>
    <t xml:space="preserve">Catalonia</t>
  </si>
  <si>
    <t xml:space="preserve">La Llotja de Mar</t>
  </si>
  <si>
    <t xml:space="preserve">Insurance; Tech; AI; Enterprise</t>
  </si>
  <si>
    <t xml:space="preserve">650+</t>
  </si>
  <si>
    <t xml:space="preserve">Large insurtech audience;  ArcticBlue's AI relevance to insurance sector digital transformation.</t>
  </si>
  <si>
    <t xml:space="preserve">ITC Europe is a two-day event for senior insurance leaders, insurtech founders, and investors focused on innovation, strategy, and practical transformation. Held at La Llotja de Mar in Barcelona, the program combines panels, fireside chats, Challenge Labs, and curated matchmaking to drive industry change and high-value networking.</t>
  </si>
  <si>
    <t xml:space="preserve">Strategy &amp; Leadership; Operating Models &amp; Execution; Regulation, Risk &amp; Resilience; Technology &amp; Data (AI, data governance, algorithmic underwriting); Distribution, Brand &amp; Customer; Startup &amp; Venture Innovation</t>
  </si>
  <si>
    <t xml:space="preserve">Senior executives and decision-makers from insurers, reinsurers, brokers, MGAs, insurtech founders, investors, and solution providers</t>
  </si>
  <si>
    <t xml:space="preserve">(Speaking, panels, workshops are Sponsorship Only)
Speaker Interest form on event website (bottom of speakers list)
https://info.itceurope.com/l/339301/2025-06-23/2tg5qf
----------------------------------------------------
Sponsorship Options we would be interested in speaking at:
(Details in PDF doc Bradley sent)
Morning Keynote / Afternoon Keynote
Morning Panel / Afternoon Panel
Interactive Workshop
Executive Roundtable
</t>
  </si>
  <si>
    <t xml:space="preserve">Sponsor Rep: </t>
  </si>
  <si>
    <t xml:space="preserve">https://europe.insuretechconnect.com/</t>
  </si>
  <si>
    <t xml:space="preserve">Had mtg.
Speaking, panels, workshops are Sponsorship Only.</t>
  </si>
  <si>
    <t xml:space="preserve">8d53713b-daa4-41e8-a19d-4070dda1ac56</t>
  </si>
  <si>
    <t xml:space="preserve">TED2026</t>
  </si>
  <si>
    <t xml:space="preserve">Vancouver Convention Centre</t>
  </si>
  <si>
    <t xml:space="preserve">https://conferences.ted.com/ted2026</t>
  </si>
  <si>
    <t xml:space="preserve">2e82352e-b000-4d09-ab83-0b82fa4c6514</t>
  </si>
  <si>
    <t xml:space="preserve">Money20/20 USA</t>
  </si>
  <si>
    <t xml:space="preserve">Recommended</t>
  </si>
  <si>
    <t xml:space="preserve">October 18, 2026</t>
  </si>
  <si>
    <t xml:space="preserve">October 21, 2026</t>
  </si>
  <si>
    <t xml:space="preserve">Nevada</t>
  </si>
  <si>
    <t xml:space="preserve">The Venetian</t>
  </si>
  <si>
    <t xml:space="preserve">11,000+</t>
  </si>
  <si>
    <t xml:space="preserve">Money20/20 USA is the premier fintech event where senior leaders from banks, payments, tech, retail, and startups gather to accelerate deals, form partnerships, and showcase innovation. The 2026 edition runs October 18-21 at The Venetian in Las Vegas and features thousands of senior attendees, hundreds of sponsors, and hundreds of speakers.</t>
  </si>
  <si>
    <t xml:space="preserve">Payments; Fintech; Financial services; Banking; Retail; Technology; Startups; Innovation</t>
  </si>
  <si>
    <t xml:space="preserve">Senior leaders (C-suite, VPs) from banks, payments firms, technology companies, retailers, startups, media analysts and investors</t>
  </si>
  <si>
    <t xml:space="preserve">https://us.money2020.com/agenda/speakers</t>
  </si>
  <si>
    <t xml:space="preserve">https://us.money2020.com/</t>
  </si>
  <si>
    <t xml:space="preserve">"Should Attend."</t>
  </si>
  <si>
    <t xml:space="preserve">1ab479b9-c8d3-48bc-9531-22160a353d3a</t>
  </si>
  <si>
    <t xml:space="preserve">Reuters NEXT Europe</t>
  </si>
  <si>
    <t xml:space="preserve">June 16, 2026</t>
  </si>
  <si>
    <t xml:space="preserve">invitation-based attendance</t>
  </si>
  <si>
    <t xml:space="preserve">invite only / curated speaker lineup (CEOs, ministers, heads of major institutions)
</t>
  </si>
  <si>
    <t xml:space="preserve">https://events.reutersevents.com/next/europe</t>
  </si>
  <si>
    <t xml:space="preserve">bd389134-8eee-4633-ba65-c649cbe0cbdf</t>
  </si>
  <si>
    <t xml:space="preserve">ITC London 2027</t>
  </si>
  <si>
    <t xml:space="preserve">January 25, 2027</t>
  </si>
  <si>
    <t xml:space="preserve">January 26, 2027</t>
  </si>
  <si>
    <t xml:space="preserve">United Kingdom</t>
  </si>
  <si>
    <t xml:space="preserve">The Brewery</t>
  </si>
  <si>
    <t xml:space="preserve">Enterprise; Insurance; Tech; AI</t>
  </si>
  <si>
    <t xml:space="preserve">Large insurtech audience; ArcticBlue's AI relevance to insurance sector digital transformation.</t>
  </si>
  <si>
    <t xml:space="preserve">ITC London is an invitation-only insurtech conference for senior insurance and insurtech leaders focused on the London Market and UK insurance. The event explores technology, AI, emerging risks, product innovation and collaboration between incumbents and startups, with curated C-suite attendance and networking features like a Challenge Lab and Innovation Zone.</t>
  </si>
  <si>
    <t xml:space="preserve">Tech &amp; AI; Future of risk coverage (climate, AI liability, cyber, geopolitical); Insurtech growth &amp; investment; incumbent collaboration; Customer experience &amp; digital transformation; Distribution and business model evolution (embedded, delegated authority, data-led targeting)</t>
  </si>
  <si>
    <t xml:space="preserve">Senior executives and decision-makers from insurers, reinsurers, brokers, MGAs, investors and insurtechs; C-suite and senior innovation/strategy leaders (invitation or vetted application only).</t>
  </si>
  <si>
    <t xml:space="preserve">https://london.insuretechconnect.com/register-interest-itc-london-2027</t>
  </si>
  <si>
    <t xml:space="preserve">https://london.insuretechconnect.com/</t>
  </si>
  <si>
    <t xml:space="preserve">d1116f71-1147-4b25-aff7-12d9e698a989</t>
  </si>
  <si>
    <t xml:space="preserve">AGENTIC AI Summit</t>
  </si>
  <si>
    <t xml:space="preserve">October 5, 2026</t>
  </si>
  <si>
    <t xml:space="preserve">October 7, 2026</t>
  </si>
  <si>
    <t xml:space="preserve">Leesburg</t>
  </si>
  <si>
    <t xml:space="preserve">1,500+</t>
  </si>
  <si>
    <t xml:space="preserve">Thor found this event of interest: Cox and other prospects are going to be there.</t>
  </si>
  <si>
    <t xml:space="preserve">AGENTIC AI is a three-day summit for builders, enterprise leaders, and visionaries accelerating the agentic AI revolution. The program combines deep technical sessions, executive conversations, workshops, and real-world deployments set at a private winery estate in Loudoun County, Virginia.</t>
  </si>
  <si>
    <t xml:space="preserve">Agentic AI; Physical AI (robots, edge, embodied intelligence); Sovereign AI (national infrastructure &amp; data sovereignty); Core AI infrastructure; Security &amp; governance; Developer tools &amp; orchestration; Foundation models &amp; multimodal AI; Data pipelines &amp; vector databases; Observability, testing, and deployability; Workforce augmentation &amp; enterprise automation</t>
  </si>
  <si>
    <t xml:space="preserve">Builders, AI engineers and researchers, enterprise technology leaders, product and engineering executives</t>
  </si>
  <si>
    <t xml:space="preserve">Sponsorship Speaking only:
Earned speaking spots are available to practitioner executives only (e.g. hospitals, banks, retailers, etc.). 
Those with an AI or tech-related product/service must apply to speak via our sponsorship request form. Thanks for your understanding.</t>
  </si>
  <si>
    <t xml:space="preserve">https://gotoagentic.ai/</t>
  </si>
  <si>
    <t xml:space="preserve">08842478-f118-4e9a-b06c-06659cd9656d</t>
  </si>
  <si>
    <t xml:space="preserve">CFO Summit 2026</t>
  </si>
  <si>
    <t xml:space="preserve">Dublin</t>
  </si>
  <si>
    <t xml:space="preserve">Ireland</t>
  </si>
  <si>
    <t xml:space="preserve">Finance; Enterprise; Tech</t>
  </si>
  <si>
    <t xml:space="preserve">Hosted by EY in partnership with the Financial Times, the CFO Summit 2026 convenes senior finance leaders, policymakers and business executives to explore how CFOs can build resilience amid economic volatility, geopolitical tension and technological disruption. The one-day hybrid event focuses on practical strategies for navigating uncertainty, strengthening resilience and positioning organisations for sustainable growth.</t>
  </si>
  <si>
    <t xml:space="preserve">Capital allocation; Workforce transformation and talent; Finance transformation and automation; Geopolitical risk and global volatility; Energy costs and infrastructure; Technology and emerging technologies</t>
  </si>
  <si>
    <t xml:space="preserve">Senior finance leaders, policymakers and business executives</t>
  </si>
  <si>
    <t xml:space="preserve">This is a Financial Times Live editorial conference, co-hosted with EY.
- speaker lineup dominated by senior finance leaders + policymakers
❌ not a public CFP-style event
❌ not a “pay-to-speak” sponsorship format</t>
  </si>
  <si>
    <t xml:space="preserve">https://cfosummit.live.ft.com/</t>
  </si>
  <si>
    <t xml:space="preserve">f6487f1d-bca1-474c-b8b1-42673efdf48e</t>
  </si>
  <si>
    <t xml:space="preserve">Redefining Trust in Financial Services</t>
  </si>
  <si>
    <t xml:space="preserve">May 27, 2026</t>
  </si>
  <si>
    <t xml:space="preserve">Bracken House</t>
  </si>
  <si>
    <t xml:space="preserve">Finance; Tech</t>
  </si>
  <si>
    <t xml:space="preserve">This Financial Times briefing brings together senior leaders from banking, payments, fintech and technology to explore how trust is being redefined in practice as AI, responsibility and consumer expectations reshape financial services. Sessions examine AI in decision-making, fraud prevention, risk management, real-time payments and how firms can balance innovation, security and accountability in an interconnected payments ecosystem.</t>
  </si>
  <si>
    <t xml:space="preserve">AI and Generative AI; Fraud prevention and the new frontlines of fraud; Risk management and intelligent risk; Payments and real-time payments; Customer experience and digital channels; Regulation and accountability; Fintech and banking partnerships</t>
  </si>
  <si>
    <t xml:space="preserve">Senior leaders from banking, payments, fintech and technology</t>
  </si>
  <si>
    <t xml:space="preserve">https://trustinfinance.live.ft.com/agenda/speakers/3929553</t>
  </si>
  <si>
    <t xml:space="preserve">Speaking Opportunities: </t>
  </si>
  <si>
    <t xml:space="preserve">https://trustinfinance.live.ft.com/</t>
  </si>
  <si>
    <t xml:space="preserve">Jerome Self Submitted.</t>
  </si>
  <si>
    <t xml:space="preserve">75fa88b9-7fb9-4205-8ada-5a172875ad0d</t>
  </si>
  <si>
    <t xml:space="preserve">The Zurich AI Conference 2026</t>
  </si>
  <si>
    <t xml:space="preserve">Registered</t>
  </si>
  <si>
    <t xml:space="preserve">Zurich</t>
  </si>
  <si>
    <t xml:space="preserve">Switzerland</t>
  </si>
  <si>
    <t xml:space="preserve">startup space by IFJ</t>
  </si>
  <si>
    <t xml:space="preserve">300</t>
  </si>
  <si>
    <t xml:space="preserve">The Zurich AI Conference 2026 brings together 300 of Switzerland's AI and business leaders for an evening of content and networking. The programme includes a panel discussion on 'Getting ROI from AI' featuring senior AI and industry speakers, followed by networking with complimentary drinks.</t>
  </si>
  <si>
    <t xml:space="preserve">Artificial Intelligence; Generative AI; Enterprise AI; AI ROI; Data &amp; AI Innovation; AI Policy &amp; Law; Industry applications (Insurance, Enterprise)</t>
  </si>
  <si>
    <t xml:space="preserve">AI and business leaders, executives, practitioners from insurance, enterprise and startups</t>
  </si>
  <si>
    <t xml:space="preserve">Curated / Invite only / sponsorship</t>
  </si>
  <si>
    <t xml:space="preserve">https://startupnetwork.eu/sne_events/the-zurich-ai-conference-2026/</t>
  </si>
  <si>
    <t xml:space="preserve">Jerome registered to attend</t>
  </si>
  <si>
    <t xml:space="preserve">c500eb1f-44db-4439-b2a1-b8a0fb9d251b</t>
  </si>
  <si>
    <t xml:space="preserve">Bahrain - June (8, 10, 11)</t>
  </si>
  <si>
    <t xml:space="preserve">June 7, 2026</t>
  </si>
  <si>
    <t xml:space="preserve">988e5553-6d5d-41f7-9b16-c04c03c650cd</t>
  </si>
  <si>
    <t xml:space="preserve">Columbia Business School: Advisor for Summer Startup Track 2026</t>
  </si>
  <si>
    <t xml:space="preserve">Columbia Business School, Geffen Hall 688 </t>
  </si>
  <si>
    <t xml:space="preserve">Personal contact. Thor has advised before.
Advisory and programming are typically coordinated through the Columbia Business School Entrepreneurship team and the Eugene Lang Entrepreneurship Center.</t>
  </si>
  <si>
    <t xml:space="preserve">The Summer Startup Track (SST) at Columbia Business School pairs rising second-year students advancing their ventures over the summer with dedicated entrepreneurial advisors, peer cohorts, and industry leaders. The program culminates in a pitch competition for taxable grants of up to $10,000 
Summer Startup Track (SST) fosters a culture of innovation and entrepreneurship for rising second-year Columbia Business School students who are dedicated to advancing their ventures over the summer. The program provides tailored advisory, a network of peers, talks with industry leaders, and a pitch competition for a limited number of grants (taxable*) of up to $10k at the end of the summer. 
Summer Startup Track is stage agnostic and committed to supporting student founders regardless of whether they are in ideation, MVP, or post-launch stages. The program is designed to create an active and engaged community of aspiring entrepreneurs, meeting founders where they are to help them reach the next stage in their startup journeys.</t>
  </si>
  <si>
    <t xml:space="preserve">Personal contact. Thor has advised before.
Gabriel Mejia: gm2576@gsb.columbia.edu
Director, The Eugene Lang Entrepreneurship Center
Columbia Business School 
</t>
  </si>
  <si>
    <t xml:space="preserve">https://business.columbia.edu/lang/student-and-alumni-programming/launch/summer-startup-track</t>
  </si>
  <si>
    <t xml:space="preserve">YOUR COMMITMENT
4-5 hour time commitment from Jun 1 - Jul 23, 2026. 
Provide 8-10 30-min advisory sessions that any student team may book with you - based on your schedule and availability (Of course, we will accept more if you’d like!)
Can be virtual or in-person, although virtual provides greater flexibility
Availability for adhoc follow-up questions, within reason
Brief written recommendation(s) if requested by a student team for the grant application. The recommendation is just a short survey (not a letter!)
Optional: Lead one roundtable session for 10-12 students (up to 1 hour) - Let us know if this is of special interest to you and we can share more guidance</t>
  </si>
  <si>
    <t xml:space="preserve">9bbd78e3-6f2d-4377-846c-8980d8b30d22</t>
  </si>
  <si>
    <t xml:space="preserve">Driving Enterprise Growth Through Customer Engagement</t>
  </si>
  <si>
    <t xml:space="preserve">Brunswick House</t>
  </si>
  <si>
    <t xml:space="preserve">A Financial Times event (in partnership with SAP) exploring how organisations can scale AI-enabled customer engagement to drive retention, increase lifetime value and generate measurable revenue growth. The session brings together senior marketing and revenue leaders to share practical insight on turning AI ambition into commercial results.</t>
  </si>
  <si>
    <t xml:space="preserve">AI Execution; Customer Engagement; Loyalty and Trust; Personalisation; Data &amp; Operating Models; Revenue Growth &amp; Retention</t>
  </si>
  <si>
    <t xml:space="preserve">Senior marketing and revenue leaders</t>
  </si>
  <si>
    <t xml:space="preserve">https://drivingenterprisegrowth.live.ft.com/agenda/speakers/3943667</t>
  </si>
  <si>
    <t xml:space="preserve">Gabriella Disandolo (gabriella.disandolo@ft.com)</t>
  </si>
  <si>
    <t xml:space="preserve">https://drivingenterprisegrowth.live.ft.com/</t>
  </si>
  <si>
    <t xml:space="preserve">Jerome self submitted an application</t>
  </si>
  <si>
    <t xml:space="preserve">f8fad721-64db-4990-be47-83d412d0b8a6</t>
  </si>
  <si>
    <t xml:space="preserve">Evanta (Gartner) CHRO Events - Ongoing</t>
  </si>
  <si>
    <t xml:space="preserve">Enterprise; Tech; HR</t>
  </si>
  <si>
    <t xml:space="preserve">Joe added - would have a good audience.</t>
  </si>
  <si>
    <t xml:space="preserve">Ongoing: Community Executive Summits, Town Halls, and Inner Circle events - peer-driven programs featuring facilitated discussions, networking, and strategy sessions. </t>
  </si>
  <si>
    <t xml:space="preserve">Membership: https://www.evanta.com/apply
Membership criteria are strict:
- CHRO or equivalent senior executive
- typically from companies with $500M+ revenue.
-non-members rarely get speaking slots unless sponsored or invited.
If you want to speak at these:
the best path is usually:
- get accepted into the community first
- attend events
- build organizer relationships
- get invited onto future panels
That’s how most non-sponsored speakers enter the ecosystem.</t>
  </si>
  <si>
    <t xml:space="preserve">https://www.evanta.com/calendar</t>
  </si>
  <si>
    <t xml:space="preserve">Ongoing events to attend (Speaking is sponsorship/membership only)
Membership criteria are strict:
- CHRO or equivalent senior executive
- typically from companies with $500M+ revenue.</t>
  </si>
  <si>
    <t xml:space="preserve">926ff723-a03a-462b-82e2-89c87847d05d</t>
  </si>
  <si>
    <t xml:space="preserve">Reuters Pharma Commercial Data &amp; Tech 2026</t>
  </si>
  <si>
    <t xml:space="preserve">-Sponsored
-No open call
-Direct editorial/program contacts exist
-Strongly curated + sponsor-influenced
-Best route is direct email pitch with a concrete enterprise pharma/AI/data case study</t>
  </si>
  <si>
    <t xml:space="preserve">https://events.reutersevents.com/pharma/commercial-data-and-tech-europe</t>
  </si>
  <si>
    <t xml:space="preserve">61223606-7528-46f3-9e1b-16cfce128ef6</t>
  </si>
  <si>
    <t xml:space="preserve">Future of AI Summit 2026</t>
  </si>
  <si>
    <t xml:space="preserve">22 Bishopsgate</t>
  </si>
  <si>
    <t xml:space="preserve">900+</t>
  </si>
  <si>
    <t xml:space="preserve">The Future of AI Summit 2026 (FT Live) is a two-day conference bringing together senior leaders in strategy, technology, data and policy to explore scaled AI investment and corporate implementation. Sessions cover practical examples of AI integration, governance, regulation, agentic systems, generative AI, security and workforce impacts.</t>
  </si>
  <si>
    <t xml:space="preserve">Geopolitics and Sovereign Infrastructure; Product and Technology; Strategy and Leadership; Liability and Governance; Physical and Embodied AI; AI and the Workforce</t>
  </si>
  <si>
    <t xml:space="preserve">C-suite executives (CEOs, CTOs, CIOs); Chief Data Officers and AI/ML leads; engineers and IT managers; policy makers and regulators; venture capitalists and investors; academic and ethical scholars</t>
  </si>
  <si>
    <t xml:space="preserve">Speaking Opportunities</t>
  </si>
  <si>
    <t xml:space="preserve">https://ai.live.ft.com/</t>
  </si>
  <si>
    <t xml:space="preserve">ac87a1e8-1a16-40a7-95ca-88cb4aaf4e2b</t>
  </si>
  <si>
    <t xml:space="preserve">Future of Finance &amp; CFO Exchange</t>
  </si>
  <si>
    <t xml:space="preserve">March 9, 2027</t>
  </si>
  <si>
    <t xml:space="preserve">March 11, 2027</t>
  </si>
  <si>
    <t xml:space="preserve">Enterprise; Finance; AI</t>
  </si>
  <si>
    <t xml:space="preserve">THE UK'S PREMIER INVITATION-ONLY EVENT FOR FINANCE EXECUTIVES
9 - 11 March 2027 | London
Finance leaders and CFOs left the Future of Finance &amp; CFO Exchange energised, challenged, and ready to redefine what finance can deliver. Across two days of high-impact discussions, they explored how to lead through constant disruption, harness AI to unlock faster, smarter decision-making, and strike the critical balance between short-term performance and long-term value creation. From bold transformation strategies to real-world approaches to resilience, capital allocation, and leadership, the Exchange proved one thing: the role of the CFO is evolving fast, and those in the room are shaping what comes next for finance. </t>
  </si>
  <si>
    <t xml:space="preserve">- curated + sponsor-influenced
- does accept inbound speaker consideration through the production team</t>
  </si>
  <si>
    <t xml:space="preserve">https://www.ssonetwork.com/events-futureoffinancecfo</t>
  </si>
  <si>
    <t xml:space="preserve">Jerome added to list</t>
  </si>
  <si>
    <t xml:space="preserve">5046ac08-a725-43e9-ad89-a8396234cae9</t>
  </si>
  <si>
    <t xml:space="preserve">Transform Conference 2027</t>
  </si>
  <si>
    <t xml:space="preserve">April 12, 2027</t>
  </si>
  <si>
    <t xml:space="preserve">April 14, 2027</t>
  </si>
  <si>
    <t xml:space="preserve">Fontainebleau Las Vegas</t>
  </si>
  <si>
    <t xml:space="preserve">Enterprise; HR; Tech; Health</t>
  </si>
  <si>
    <t xml:space="preserve">4,500 Attendees</t>
  </si>
  <si>
    <t xml:space="preserve">Transform is a premier gathering of leaders shaping the future of work where AI meets humanity. The conference brings together executives, entrepreneurs, investors, and innovators for three days of panels, workshops, and networking (April 12–14, 2027 at Fontainebleau Las Vegas).</t>
  </si>
  <si>
    <t xml:space="preserve">AI + Humanity; Health + Wellbeing; Culture &amp; Belonging; Performance Reimagined; Leadership and People Strategy; Talent Acquisition, L&amp;D, and Retention; Healthcare Innovation</t>
  </si>
  <si>
    <t xml:space="preserve">People leaders, HR and talent executives, startup founders, investors, talent partners, and healthcare innovators.</t>
  </si>
  <si>
    <t xml:space="preserve">Joe spoke at this in 2026 and it's definitely the right audience. He knows some of the people there (including his brother in law) so we'd have an inside track.
Speaking: invite only/no open calls
He needs to connect us with the contact person who invited him.</t>
  </si>
  <si>
    <t xml:space="preserve">https://transform.us/conference/</t>
  </si>
  <si>
    <t xml:space="preserve">Joe spoke at this in 2026 and it's definitely the right audience. He knows some of the people there (including his brother in law) so we'd have an inside track.
Speaking: invite only/no open calls
He needs to connect is with the contact person who invited him.</t>
  </si>
  <si>
    <t xml:space="preserve">c5d9ea6c-f3a9-44b4-96d8-f59098fc332c</t>
  </si>
  <si>
    <t xml:space="preserve">ETN: European Technology Network (Podcast)</t>
  </si>
  <si>
    <t xml:space="preserve">Enterprise; Podcast</t>
  </si>
  <si>
    <t xml:space="preserve">Hurley noted: 
New Podcast growing in Europe (began Fall 2025) Perhaps worthwhile for Thor or Jerome to do a session.
Some large Technology companies have done segments on the podcast (Synthesia, Rogo, etc), but we could probably bring a new perspective from consulting others.</t>
  </si>
  <si>
    <t xml:space="preserve">Europe’s technology show. 
Hosted by @lukeknight and @ronanchamberss
and streaming live on X and Youtube 
at 11AM-2PM UK every Tuesday and Thursday.</t>
  </si>
  <si>
    <t xml:space="preserve">https://etnshow.co/contact</t>
  </si>
  <si>
    <t xml:space="preserve">https://etnshow.co/</t>
  </si>
  <si>
    <t xml:space="preserve">- https://www.linkedin.com/company/eutncom/about/
- https://x.com/etnshow
- https://etnshow.co/</t>
  </si>
  <si>
    <t xml:space="preserve">e3848d4f-71be-4c02-a8b9-f8166430da7e</t>
  </si>
  <si>
    <t xml:space="preserve">Swiss Fintech Week 2026</t>
  </si>
  <si>
    <t xml:space="preserve">Enterprise; Finance; Tech</t>
  </si>
  <si>
    <t xml:space="preserve">Swiss Fintech Week 2026 is a seven-day showcase of Swiss fintech innovation, bringing together startups, investors, financial institutions, policymakers and academia to explore and shape the future of digital financial services. The event features multiple co-located forums, talks, awards, networking activities and innovation tours across Zurich.</t>
  </si>
  <si>
    <t xml:space="preserve">Fintech; Digital Financial Services; Banking Technology; Policy &amp; Regulation; Startups &amp; Venture Capital; Cybersecurity &amp; IT Security; Innovation &amp; Partnerships</t>
  </si>
  <si>
    <t xml:space="preserve">Fintech founders, startups, investors, banking and financial institution executives, regulators and central banks, policymakers, and academics.</t>
  </si>
  <si>
    <t xml:space="preserve">No public speaker application/CFP URL </t>
  </si>
  <si>
    <t xml:space="preserve">https://www.swissfintechweek.com/</t>
  </si>
  <si>
    <t xml:space="preserve">8e1fac8f-253c-4a21-b40d-730de31d86f5</t>
  </si>
  <si>
    <t xml:space="preserve">Future of Retail Summit 2026</t>
  </si>
  <si>
    <t xml:space="preserve">October 6, 2026</t>
  </si>
  <si>
    <t xml:space="preserve">Convene 200 Aldersgate</t>
  </si>
  <si>
    <t xml:space="preserve">400+ Attendees</t>
  </si>
  <si>
    <t xml:space="preserve">The FT Future of Retail Summit returns in 2026 to explore how retailers can adapt to inflation, geopolitical tensions and rapid technological change. The one-day event brings together senior leaders to discuss AI, omnichannel innovation, cybersecurity and sustainable retail strategies.</t>
  </si>
  <si>
    <t xml:space="preserve">AI Automation; Cybersecurity; Social commerce; Omnichannel innovation; Sustainability</t>
  </si>
  <si>
    <t xml:space="preserve">C-suite executives and senior retail leaders</t>
  </si>
  <si>
    <t xml:space="preserve">Sponsor / Curated Invite only
FT Live does sometimes accept inbound speaker inquiries through:
-production directors
-event program teams
-direct editorial contacts</t>
  </si>
  <si>
    <t xml:space="preserve">Rebecca Roper, Speaking Opportunities</t>
  </si>
  <si>
    <t xml:space="preserve">https://retail.live.ft.com/</t>
  </si>
  <si>
    <t xml:space="preserve">5734b361-1d40-4105-a7ef-6b65072e90b8</t>
  </si>
  <si>
    <t xml:space="preserve">FT Global Insurance Summit 2026</t>
  </si>
  <si>
    <t xml:space="preserve">Insurance; Enterprise; Tech; Finance</t>
  </si>
  <si>
    <t xml:space="preserve">350+ Attendees</t>
  </si>
  <si>
    <t xml:space="preserve">A one-day summit convening senior leaders from insurers, reinsurers, brokers, regulators and service providers to debate the future of insurance. Sessions and keynotes led by FT journalists will cover risk modelling, private capital, AI, climate and geopolitical pressures affecting the industry.</t>
  </si>
  <si>
    <t xml:space="preserve">AI and emerging technologies; Climate risk and natural catastrophes; Geopolitical risks and risk pricing; Private capital in life insurance; Systemic risk and coverage gaps; Reinsurance strategy; Life insurance innovation and demographics</t>
  </si>
  <si>
    <t xml:space="preserve">Senior executives, directors, policymakers, regulators, insurers, reinsurers, brokers and industry service providers</t>
  </si>
  <si>
    <t xml:space="preserve">No open speaker call: invite/ curated
You only get a slot through:
Editorial invitation (main path): insurers, regulators, enterprise execs
Direct pitch to FT Live producers: e.g. Lewis Manson / Emma Summers
Strong enterprise case study relevance: insurance transformation, AI underwriting, risk, claims automation
Sponsor route (secondary): more for panels or side sessions than headline slots</t>
  </si>
  <si>
    <t xml:space="preserve">Jack Foley, Speaking Opportunities</t>
  </si>
  <si>
    <t xml:space="preserve">jack.foley@ft.com</t>
  </si>
  <si>
    <t xml:space="preserve">https://insurance.live.ft.com/</t>
  </si>
  <si>
    <t xml:space="preserve">98eec1c9-f0b8-4c03-9fa6-fced72ca21d6</t>
  </si>
  <si>
    <t xml:space="preserve">Future of Work USA</t>
  </si>
  <si>
    <t xml:space="preserve">September 15, 2026</t>
  </si>
  <si>
    <t xml:space="preserve">September 16, 2026</t>
  </si>
  <si>
    <t xml:space="preserve">Dallas</t>
  </si>
  <si>
    <t xml:space="preserve">Texas</t>
  </si>
  <si>
    <t xml:space="preserve">Kay Bailey Hutchison Convention Center</t>
  </si>
  <si>
    <t xml:space="preserve">HR; Enterprise</t>
  </si>
  <si>
    <t xml:space="preserve">Future of Work USA is America's premier event for HR, employee experience, talent and learning leaders, taking place on September 15-16, 2026 in Dallas. The conference brings together senior leaders and experts to share strategies and solutions across change transformation, people experience, and learning leadership.</t>
  </si>
  <si>
    <t xml:space="preserve">Change Transformation; People Experience; Learning Leadership; HR; Talent; Learning &amp; Development; Employee Experience; Workplace Culture; Future of Work / AI and skills</t>
  </si>
  <si>
    <t xml:space="preserve">Senior HR, People, Talent and L&amp;D leaders; employee experience and people operations executives; senior business leaders responsible for organisational change</t>
  </si>
  <si>
    <t xml:space="preserve">https://futureworkseries.com/usa/usa-speaker-page</t>
  </si>
  <si>
    <t xml:space="preserve">https://futureworkseries.com/usa</t>
  </si>
  <si>
    <t xml:space="preserve">618ee7f4-157d-493d-91aa-352419abf18e</t>
  </si>
  <si>
    <t xml:space="preserve">CV Summit Zurich</t>
  </si>
  <si>
    <t xml:space="preserve">September 30, 2026</t>
  </si>
  <si>
    <t xml:space="preserve">Kongresshaus Zurich</t>
  </si>
  <si>
    <t xml:space="preserve">Enterprise; Tech; Finance</t>
  </si>
  <si>
    <t xml:space="preserve">3,000+</t>
  </si>
  <si>
    <t xml:space="preserve">CV Summit is Switzerland’s leading blockchain, AI, and digital assets business conference, uniting thousands of leaders, innovators, investors, institutions, and policymakers. The two-day event features content across multiple stages, workshops, and extensive networking opportunities.</t>
  </si>
  <si>
    <t xml:space="preserve">Blockchain; Digital Assets / Web3; Artificial Intelligence; Investments &amp; Wealth; Institutions &amp; Digital Assets</t>
  </si>
  <si>
    <t xml:space="preserve">Executives from financial institutions and other industries; blockchain founders and tech innovators; institutional investors and VCs; policymakers, academics, and regulators.</t>
  </si>
  <si>
    <t xml:space="preserve">https://www.cvsummit.ch/speakers/#speakers-form
(Speaker apply link: Become a Speaker (linked throughout FAQ/event pages)</t>
  </si>
  <si>
    <t xml:space="preserve">https://www.cvsummit.ch/</t>
  </si>
  <si>
    <t xml:space="preserve">4495e64d-2b15-4edd-8c3d-ff0f7b4f3e7e</t>
  </si>
  <si>
    <t xml:space="preserve">UNLEASH America 2027</t>
  </si>
  <si>
    <t xml:space="preserve">April 13, 2027</t>
  </si>
  <si>
    <t xml:space="preserve">April 15, 2027</t>
  </si>
  <si>
    <t xml:space="preserve">Enterprise; HR</t>
  </si>
  <si>
    <t xml:space="preserve">Joe added to our list. HR events with a good audience.</t>
  </si>
  <si>
    <t xml:space="preserve">UNLEASH America is a three-day conference where global HR and business leaders gather to explore the future of work. The program features visionary keynotes, real-world case studies, breakthrough technologies, and leading thinkers on HR, recruitment and learning.</t>
  </si>
  <si>
    <t xml:space="preserve">Human Resources; Recruitment; Learning &amp; Development; Workforce Technology; AI and Innovation; Leadership; People Analytics; Talent Acquisition</t>
  </si>
  <si>
    <t xml:space="preserve">HR and business leaders (CPOs, talent leaders), HR tech vendors, Fortune 500 employers, public sector representatives and start-ups</t>
  </si>
  <si>
    <t xml:space="preserve">Submit a proposal via the event's 'Apply to Speak' process on the UNLEASH website: https://www.unleash.ai/unleashamerica/
Can apply for below events in one application:
- UNLEASH America
- UNLEASH World
- ONGOING: Editorial - News, Opinion, Interview, Insight, Feature, and/or Case Studies</t>
  </si>
  <si>
    <t xml:space="preserve">https://www.unleash.ai/unleashamerica/</t>
  </si>
  <si>
    <t xml:space="preserve">Can apply for below events in one application:
- UNLEASH America
- UNLEASH World
- ONGOING: Editorial - News, Opinion, Interview, Insight, Feature, and/or Case Studies</t>
  </si>
  <si>
    <t xml:space="preserve">2a2803ac-dd1f-426e-a8af-4ed74a85c56e</t>
  </si>
  <si>
    <t xml:space="preserve">(Millennium Alliance) Transformational CHRO Assembly – June 2026</t>
  </si>
  <si>
    <t xml:space="preserve">Marriott Biscayne Bay</t>
  </si>
  <si>
    <t xml:space="preserve">An invitation-only assembly for global Chief Human Resource Officers to meet face-to-face and discuss current trends and challenges in HR and digital transformation. The event focuses on data-driven agendas curated by industry experts and offers access to leading enterprises and technology solution providers.</t>
  </si>
  <si>
    <t xml:space="preserve">Digital transformation in HR; Intelligent HR automation; Employee advocacy and engagement; Digital dexterity; Redesigning the world of work; Talent acquisition and benefits</t>
  </si>
  <si>
    <t xml:space="preserve">Chief Human Resource Officers, senior HR leaders, C‑suite executives, and solution providers (invited delegates and approved applicants).</t>
  </si>
  <si>
    <t xml:space="preserve">https://mill-all.com/contact-us/#apply-to-become-a-speaker
(Can apply for multiple speaking tracks + dates - make sure you check the boxes at the bottom of the page!)</t>
  </si>
  <si>
    <t xml:space="preserve">Programming Team</t>
  </si>
  <si>
    <t xml:space="preserve">https://mill-all.com/assemblies/transformational-chro-assembly-june-2026/</t>
  </si>
  <si>
    <t xml:space="preserve">One application for multiple speaking tracks - update all later dates in the Event Tracker if submitted to multiple Millennium Alliance events.</t>
  </si>
  <si>
    <t xml:space="preserve">fac1d2bf-50a7-44da-97e2-1c37fc7748fe</t>
  </si>
  <si>
    <t xml:space="preserve">Blueprint for I&amp;D: The Future of Strategic Transformation</t>
  </si>
  <si>
    <t xml:space="preserve">Gaylord Opryland Resort</t>
  </si>
  <si>
    <t xml:space="preserve">BLUEPRINT for I&amp;D is a learning path within All Things Work 2026 focused on building enterprise-ready inclusion and diversity strategies that align with legal, cultural, and business expectations. Attendees gain a performance-based approach linking inclusion and civility to workforce results and take away practical, implementable I&amp;D strategies.</t>
  </si>
  <si>
    <t xml:space="preserve">Strategic I&amp;D; Employee Experience &amp; Inclusive Cultures; I&amp;D &amp; Legal Compliance; AI Impacts &amp; Opportunities for Inclusion; Broadening the Workforce Funnel</t>
  </si>
  <si>
    <t xml:space="preserve">HR leaders, I&amp;D specialists, HR professionals, and senior leaders responsible for workforce strategy</t>
  </si>
  <si>
    <t xml:space="preserve">Speaker form: 
https://shrm.formstack.com/forms/blueprint26_interest_form?_gl=1*f34bq4*_ga*MjE0MTE2ODIwNi4xNzc5ODg1ODU0*_ga_N68056QWYJ*czE3Nzk4ODU4NTMkbzEkZzEkdDE3Nzk4ODU4OTgkajE1JGwwJGgw
</t>
  </si>
  <si>
    <t xml:space="preserve">https://conference.shrm.org/blueprint</t>
  </si>
  <si>
    <t xml:space="preserve">15bc140b-fec7-405c-bd80-9d4bd039ff2f</t>
  </si>
  <si>
    <t xml:space="preserve">Generative AI Summit NYC (Hosted by the AI Accelerator Institute)</t>
  </si>
  <si>
    <t xml:space="preserve">June 04, 2026</t>
  </si>
  <si>
    <t xml:space="preserve">Convene 360</t>
  </si>
  <si>
    <t xml:space="preserve">A one-day summit for engineers and executives building industry-ready generative AI systems, focused on shipping and scaling production models. The event emphasizes technical deep dives, model ops, infrastructure, and agentic architectures without large expo halls or marketing-heavy sessions.</t>
  </si>
  <si>
    <t xml:space="preserve">Generative AI; Agentic AI; LLMs and foundation models; Model Ops / MLOps; Infrastructure and LLM optimization; Workflow optimization and CI/CD; Security and compliance; AI leadership and strategy</t>
  </si>
  <si>
    <t xml:space="preserve">Engineers, AI builders, Chief AI Officers, technical leaders and senior management</t>
  </si>
  <si>
    <t xml:space="preserve">Submission Form: https://world.aiacceleratorinstitute.com/location/caionewyork/requesttospeak</t>
  </si>
  <si>
    <t xml:space="preserve">https://world.aiacceleratorinstitute.com/location/newyork/</t>
  </si>
  <si>
    <t xml:space="preserve">96463014-72bd-43a3-87ec-8675a693ca90</t>
  </si>
  <si>
    <t xml:space="preserve">ALIGN AI Executive Summit - Dallas</t>
  </si>
  <si>
    <t xml:space="preserve">ALIGN AI Executive Summit (Dallas) is a one-day, invitation-focused forum for enterprise data and AI leaders to discuss operationalizing AI at scale. The event focuses on systems, governance, economics, and foundational data/platform topics needed to move from pilots to production.</t>
  </si>
  <si>
    <t xml:space="preserve">AI Systems &amp; Application Layer; LLMOps / GenAIOps and Evaluation; Runtime Governance, Risk &amp; Security; AI Economics, ROI &amp; FinOps; Data Foundations, Metadata &amp; Lineage; Context Engineering, Agents &amp; Retrieval; AI Infrastructure, Model Serving &amp; Performance</t>
  </si>
  <si>
    <t xml:space="preserve">Enterprise data and AI executives and decision-makers (director-level and up) from large organizations</t>
  </si>
  <si>
    <t xml:space="preserve">https://datasciconnect.com/events/align-ai-executive-summit-dallas/</t>
  </si>
  <si>
    <t xml:space="preserve">e9f222bf-eaab-44af-b19f-df6b7b1bea4d</t>
  </si>
  <si>
    <t xml:space="preserve">COLLIDE Data+AI Conference (part of Align AI)</t>
  </si>
  <si>
    <t xml:space="preserve">COLLIDE is a data and AI conference focused on enterprise adoption, governance, and production-scale systems. Built for senior decision-makers from large enterprises, the event covers operationalizing AI, platform strategy, and the economics of scale.</t>
  </si>
  <si>
    <t xml:space="preserve">AI as a System (LLMOps, agentic platforms, context engineering); Runtime governance and policy enforcement; AI risk, security, and model accountability; Measuring AI ROI and FinOps for AI; Data foundations, metadata, lineage, and platform interoperability; Observability, evaluation, and production reliability</t>
  </si>
  <si>
    <t xml:space="preserve">Senior data and AI executives, enterprise architects, heads of data/ML, engineering leaders, and decision-makers from large (Fortune 500) companies</t>
  </si>
  <si>
    <t xml:space="preserve">https://datasciconnect.com/events/collide/</t>
  </si>
  <si>
    <t xml:space="preserve">ae9a0df0-284a-43ad-97c1-ec9c2af845ef</t>
  </si>
  <si>
    <t xml:space="preserve">(Millennium Alliance) Transformational CHRO Assembly Europe – September 2026</t>
  </si>
  <si>
    <t xml:space="preserve">September 9, 2026</t>
  </si>
  <si>
    <t xml:space="preserve">September 10, 2026</t>
  </si>
  <si>
    <t xml:space="preserve">Novotel Amsterdam City</t>
  </si>
  <si>
    <t xml:space="preserve">A high-level, invitation-only assembly for Global Chief Human Resource Officers focused on people-first HR in the digital age. The event brings together C-suite HR leaders, research partners and solution providers to discuss HR transformation, digital dexterity and innovative workforce strategies.</t>
  </si>
  <si>
    <t xml:space="preserve">Intelligent HR automation; Fostering employee advocacy; Digital dexterity; Redesigning the world of work; HR transformation and talent attraction</t>
  </si>
  <si>
    <t xml:space="preserve">Global Chief Human Resource Officers and senior HR/C-suite leaders (invited delegates)</t>
  </si>
  <si>
    <t xml:space="preserve">https://mill-all.com/assemblies/transformational-chro-assembly-europe-september-2026/</t>
  </si>
  <si>
    <t xml:space="preserve">7ca63942-15cd-45e9-8c65-df11930f8bcb</t>
  </si>
  <si>
    <t xml:space="preserve">(Millennium Alliance) Transformational CHRO Assembly</t>
  </si>
  <si>
    <t xml:space="preserve">The Whitley, Atlanta Buckhead</t>
  </si>
  <si>
    <t xml:space="preserve">A high-level, invitation or application-only assembly for global Chief Human Resource Officers focused on people-first HR in the digital age. The event convenes C-suite HR leaders and solution providers to discuss research-driven insights and practical strategies for transforming HR through technology and organizational change.</t>
  </si>
  <si>
    <t xml:space="preserve">Intelligent HR automation; Fostering employee advocacy; Digital dexterity; Redesigning the world of work; People-first HR and digital transformation</t>
  </si>
  <si>
    <t xml:space="preserve">Global Chief Human Resource Officers, C-suite HR leaders, senior HR executives, and selected solution providers/partners</t>
  </si>
  <si>
    <t xml:space="preserve">https://mill-all.com/assemblies/transformational-chro-assembly-november-2026/</t>
  </si>
  <si>
    <t xml:space="preserve">6fdfc16e-24d5-49bc-9a70-99cfcae3b807</t>
  </si>
  <si>
    <t xml:space="preserve">AI Enterprise Conference 2026 (part of Align AI)</t>
  </si>
  <si>
    <t xml:space="preserve">September 1, 2026</t>
  </si>
  <si>
    <t xml:space="preserve">The AI Enterprise Conference 2026 is a one-day event for Fortune 500 decision-makers and enterprise data + AI leaders focused on moving AI from pilots to production. Sessions cover systems, governance, economics, and the foundational data and platform work required to scale AI responsibly and generate measurable business value.</t>
  </si>
  <si>
    <t xml:space="preserve">Context engineering beyond classic RAG; Evaluation, observability, and AI system reliability; LLMOps / GenAIOps and agents as systems; Runtime governance, policy enforcement, and AI risk; Privacy, sovereignty, auditability, and security; Measuring AI ROI and FinOps for AI; AI-ready data foundations, metadata, lineage, and platform strategy; Operating models, workforce readiness, and adoption</t>
  </si>
  <si>
    <t xml:space="preserve">Fortune 500 executives, senior technical leaders, heads of data/AI, ML engineers, platform and governance leads</t>
  </si>
  <si>
    <t xml:space="preserve">Apply to speak: https://datasciconnect.com/events/speaker-interest-form/
One submission covers multiple events:
ALIGN AI Executive Summit - ATL (5.20.2026)
ALIGN AI Executive Summit - NYC (6.25.2026)
ALIGN AI Executive Summit - CHI (7.15.2026)
ALIGN AI Executive Summit - SF (8.19.2026)
The AI Enterprise Conference - NYC (9.2.2026)
COLLIDE Data+AI Conference - ATL (10.1.2026)
ALIGN AI Executive Summit - DAL (10.21.2026)
AI for Enterprise Webinar Series
all event descriptions combined here: 
https://datasciconnect.com/events/
</t>
  </si>
  <si>
    <t xml:space="preserve">https://datasciconnect.com/events/ai-enterprise-conference/</t>
  </si>
  <si>
    <t xml:space="preserve">7cf3eaed-7370-40a4-929e-ec7e0eb70e25</t>
  </si>
  <si>
    <t xml:space="preserve">ALIGN AI Executive Summit ATL</t>
  </si>
  <si>
    <t xml:space="preserve">ALIGN AI Executive Summit ATL is an exclusive forum for enterprise data and AI leaders focused on operationalizing AI at scale. The event covers the realities of moving from pilots to production, emphasizing systems, governance, economics, and foundational data/platform challenges.</t>
  </si>
  <si>
    <t xml:space="preserve">AI as a System (LLMOps, agents, context engineering); Runtime Governance &amp; AI Risk; Economics of AI (ROI, FinOps); Data Foundations &amp; Platform Strategy; Observability, Evaluation &amp; Testing; Knowledge Retrieval, Vector DBs, Enterprise Search</t>
  </si>
  <si>
    <t xml:space="preserve">Senior-level enterprise data and AI leaders (director-level and up), CDOs, VPs, platform and engineering leads; qualifying attendees often work at non-vendor organizations with 5,000+ employees.</t>
  </si>
  <si>
    <t xml:space="preserve">
Apply to speak: https://datasciconnect.com/events/speaker-interest-form/
One submission covers multiple events:
ALIGN AI Executive Summit - ATL (5.20.2026)
ALIGN AI Executive Summit - NYC (6.25.2026)
ALIGN AI Executive Summit - CHI (7.15.2026)
ALIGN AI Executive Summit - SF (8.19.2026)
The AI Enterprise Conference - NYC (9.2.2026)
COLLIDE Data+AI Conference - ATL (10.1.2026)
ALIGN AI Executive Summit - DAL (10.21.2026)
AI for Enterprise Webinar Series
all event descriptions combined here: 
https://datasciconnect.com/events/</t>
  </si>
  <si>
    <t xml:space="preserve">https://datasciconnect.com/events/align-ai-summit-atlanta/</t>
  </si>
  <si>
    <t xml:space="preserve">1e3fae96-b822-4dfd-ae17-92f773aa65dd</t>
  </si>
  <si>
    <t xml:space="preserve">(Millennium Alliance) Transformational CIOs CHROs in the AI Era – May 2026</t>
  </si>
  <si>
    <t xml:space="preserve">Spring Studios</t>
  </si>
  <si>
    <t xml:space="preserve">Enterprise; HR; Tech</t>
  </si>
  <si>
    <t xml:space="preserve">A senior executive Assembly bringing together CIOs and CHROs to explore how AI and digital transformation are reshaping work, talent and technology. The event features data-driven agendas and peer-to-peer sessions designed for C‑suite leaders and invited delegates.</t>
  </si>
  <si>
    <t xml:space="preserve">AI-driven digital transformation; Technology and talent alignment; C-Suite collaboration (CIOs &amp; CHROs); Workforce transformation and HR strategy; Enterprise IT modernization</t>
  </si>
  <si>
    <t xml:space="preserve">Chief Information Officers, Chief Human Resource Officers, other C‑level executives and invited solution providers</t>
  </si>
  <si>
    <t xml:space="preserve">https://mill-all.com/assemblies/cornerstone-ondemand-assembly-may-2026/</t>
  </si>
  <si>
    <t xml:space="preserve">24d696e8-8379-4213-b8fb-8712c673e26d</t>
  </si>
  <si>
    <t xml:space="preserve">(Millennium Alliance) Transformational CHRO Assembly – August 2026</t>
  </si>
  <si>
    <t xml:space="preserve">The Four Seasons, Austin</t>
  </si>
  <si>
    <t xml:space="preserve">A closed, invitation/approved-application assembly for Global Chief Human Resource Officers focused on people-first HR in the digital age. The event brings C-suite HR leaders together to share research-driven insights, peer-to-peer learning, and access to innovative technology solution providers to drive HR transformation.</t>
  </si>
  <si>
    <t xml:space="preserve">Intelligent HR automation; Fostering employee advocacy; Digital dexterity; Redesigning the world of work; Digital transformation for HR</t>
  </si>
  <si>
    <t xml:space="preserve">Chief Human Resource Officers, C-suite HR leaders, senior HR executives and invited solution providers/technology partners</t>
  </si>
  <si>
    <t xml:space="preserve">https://mill-all.com/assemblies/transformational-chro-assembly-august-2026/</t>
  </si>
  <si>
    <t xml:space="preserve">ddcd4553-67f9-4fc1-8906-e4c76dc583a0</t>
  </si>
  <si>
    <t xml:space="preserve">FT AI Forum Workshop</t>
  </si>
  <si>
    <t xml:space="preserve">The AI Forum examines how businesses are adopting and integrating AI, with a focus on moving from early deployment to execution at scale. It brings together organisations from across sectors to exchange insights, share practical examples, and identify strategies to support innovation.</t>
  </si>
  <si>
    <t xml:space="preserve">AI adoption and integration; Scaling AI deployment; Cross-sector learning; AI strategy and innovation</t>
  </si>
  <si>
    <t xml:space="preserve">AI and digital leaders from various sectors; business and technology leaders interested in enterprise AI</t>
  </si>
  <si>
    <t xml:space="preserve">Charlotte Otterson, Speaking Opportunities</t>
  </si>
  <si>
    <t xml:space="preserve">charlotte.otterson@ft.com</t>
  </si>
  <si>
    <t xml:space="preserve">https://events.bizzabo.com/864955/home</t>
  </si>
  <si>
    <t xml:space="preserve">f6a9d460-200d-4af2-8922-7b5007db545f</t>
  </si>
  <si>
    <t xml:space="preserve">AI in Finance Summit - Fall</t>
  </si>
  <si>
    <t xml:space="preserve">October 22, 2026</t>
  </si>
  <si>
    <t xml:space="preserve">New Jersey</t>
  </si>
  <si>
    <t xml:space="preserve">W Hoboken</t>
  </si>
  <si>
    <t xml:space="preserve">Enterprise; Finance</t>
  </si>
  <si>
    <t xml:space="preserve">The AI in Finance Summit Fall is a two-day conference bringing together finance and AI professionals to explore how AI and agentic/Generative technologies are transforming financial services. The event features industry speakers, case studies, and vendor showcases focused on production-grade AI, data infrastructure, observability, governance, and real-world use cases.</t>
  </si>
  <si>
    <t xml:space="preserve">AI in finance; Generative AI and agentic agents; AI infrastructure and data platforms; Model observability and governance; Production ML/LLM deployment and risk management; Use cases and case studies in banking and fintech</t>
  </si>
  <si>
    <t xml:space="preserve">Data scientists, ML/AI engineers, quants, CTOs, heads of innovation, risk and compliance leaders, product and data executives from banks and fintechs</t>
  </si>
  <si>
    <t xml:space="preserve">Submit proposals via the RE•WORK site using the 'Suggest a Speaker' :
(speakers are selected by the organizers)
https://ny-ai-finance.re-work.co/suggest-a-speaker</t>
  </si>
  <si>
    <t xml:space="preserve">https://ny-ai-finance.re-work.co/</t>
  </si>
  <si>
    <t xml:space="preserve">Invisible Attending.
Also one in Spring.
*Topic D</t>
  </si>
  <si>
    <t xml:space="preserve">3d75ada2-c412-4e29-acb3-053b37471c74</t>
  </si>
  <si>
    <t xml:space="preserve">2492b1eb-7566-45bc-9bcb-049ffb1b7a8f</t>
  </si>
  <si>
    <t xml:space="preserve">ASU+GSV Summit 2026</t>
  </si>
  <si>
    <t xml:space="preserve">Scott</t>
  </si>
  <si>
    <t xml:space="preserve">Enterprise; Education; AI</t>
  </si>
  <si>
    <t xml:space="preserve">7,000 delegates</t>
  </si>
  <si>
    <t xml:space="preserve">ASU+GSV Summit is the premier global convening for leaders transforming the education and skills sector, hosted in partnership with Arizona State University. The event brings together innovators across PreK-to-career learning to showcase edtech, workforce innovation, and investment opportunities.</t>
  </si>
  <si>
    <t xml:space="preserve">Education &amp; skills innovation; EdTech products and investment; Workforce innovation and upskilling; AI in education; Higher education and HBCU partnerships; Startups &amp; the GSV Cup/accelerator programs</t>
  </si>
  <si>
    <t xml:space="preserve">EdTech founders, investors, policymakers, university leaders, K–12 and higher-education administrators, workforce and HR leaders</t>
  </si>
  <si>
    <t xml:space="preserve">Apply via the event's 'Become a Speaker' submission/nomination process on the ASU+GSV Summit site (selection by organizers)</t>
  </si>
  <si>
    <t xml:space="preserve">https://asugsvsummit.com/</t>
  </si>
  <si>
    <t xml:space="preserve">Scott Recommends Attending</t>
  </si>
  <si>
    <t xml:space="preserve">0680820f-d88c-4cc2-b35e-e60e90078839</t>
  </si>
  <si>
    <t xml:space="preserve">ITC Asia 2026</t>
  </si>
  <si>
    <t xml:space="preserve">July 2, 2026</t>
  </si>
  <si>
    <t xml:space="preserve">Sands Expo Convention Centre</t>
  </si>
  <si>
    <t xml:space="preserve">Insurance; Tech; Enterprise</t>
  </si>
  <si>
    <t xml:space="preserve">ITC Asia is Asia's leading event for insurance growth, bringing together senior leaders across the insurance and insurtech ecosystem to connect, partner and scale. The three-day conference features over 200 speakers and focuses on practical implementation, innovation and profitable growth within the region.</t>
  </si>
  <si>
    <t xml:space="preserve">Leadership Insights; Tech in Action; Growth &amp; Profitability; AI &amp; Data; Underwriting Intelligence; Claims Excellence; Customer Trust; Distribution Reinvented; Cyber &amp; Specialty</t>
  </si>
  <si>
    <t xml:space="preserve">Senior insurance executives (80% VP level and above), insurtech founders, solution/tech providers and investors</t>
  </si>
  <si>
    <t xml:space="preserve">https://asia.insuretechconnect.com/2026-speakers</t>
  </si>
  <si>
    <t xml:space="preserve">https://asia.insuretechconnect.com</t>
  </si>
  <si>
    <t xml:space="preserve">f08966da-e98e-4c99-b174-33cd940b7a7b</t>
  </si>
  <si>
    <t xml:space="preserve">Ai Everything Abu Dhabi</t>
  </si>
  <si>
    <t xml:space="preserve">United Arab Emirates</t>
  </si>
  <si>
    <t xml:space="preserve">ADNEC Centre</t>
  </si>
  <si>
    <t xml:space="preserve">Ai Everything Abu Dhabi is a major global AI summit and exhibition convening AI decision-makers, innovators, policymakers and enterprises. The event combines the Abu Dhabi AI Summit with a large expo showcasing live government and sector use-cases across healthcare, energy, mobility, finance and security.</t>
  </si>
  <si>
    <t xml:space="preserve">AI Government / Digital Governance; Sovereign Clouds &amp; AI Super Data Centres; AI Startups &amp; Innovation (AI StartX); Physical-AI / Robotics; AI Semiconductors &amp; Hardware; Precision Health / Biotech; Cybersecurity / AI Cyber Valley; Quantum AI (AI QX); Enterprise &amp; Generative AI; Sovereign AI / National AI strategy</t>
  </si>
  <si>
    <t xml:space="preserve">C-suite executives, government leaders and policymakers, AI researchers and practitioners, startup founders, investors, and enterprise technologists.</t>
  </si>
  <si>
    <t xml:space="preserve">https://event.aieverythingabudhabi.com/speaker-enquiry-2026</t>
  </si>
  <si>
    <t xml:space="preserve">https://aieverythingabudhabi.com</t>
  </si>
  <si>
    <t xml:space="preserve">Their current submission form is full of bugs and does not work.
Reach out via personal contact or try to make the form work.</t>
  </si>
  <si>
    <t xml:space="preserve">efaceac6-daca-4750-9b1e-093600b7ea74</t>
  </si>
  <si>
    <t xml:space="preserve">UNLEASH World 2026</t>
  </si>
  <si>
    <t xml:space="preserve">October 20, 2026</t>
  </si>
  <si>
    <t xml:space="preserve">Paris Convention Centre</t>
  </si>
  <si>
    <t xml:space="preserve">UNLEASH World is a global HR conference showcasing breakthrough technologies and innovators shaping the future of work. The 14th annual edition returns to Paris in 2026 and brings together leaders from startups to Fortune 500 companies to explore people, technology and organisational transformation.</t>
  </si>
  <si>
    <t xml:space="preserve">Future of Work; HR technology &amp; digital enablement; People &amp; talent strategy; Learning &amp; Development; Talent acquisition &amp; recruitment; People analytics &amp; HRIS; DEIB &amp; wellbeing; AI in HR</t>
  </si>
  <si>
    <t xml:space="preserve">CHROs and senior HR leaders, talent and people teams, HR tech vendors, recruiters, L&amp;D professionals, enterprise and public sector representatives</t>
  </si>
  <si>
    <t xml:space="preserve">https://www.unleash.ai/unleashworld/</t>
  </si>
  <si>
    <t xml:space="preserve">f1f7e625-0ea3-49c8-8566-e1f8b32eb1f8</t>
  </si>
  <si>
    <t xml:space="preserve">ArcticScout — Event Tracker Summary</t>
  </si>
  <si>
    <t xml:space="preserve">Auto-calculated from the All Events sheet</t>
  </si>
  <si>
    <t xml:space="preserve">Total events</t>
  </si>
  <si>
    <t xml:space="preserve">By status (derived from notes)</t>
  </si>
  <si>
    <t xml:space="preserve">By priority</t>
  </si>
  <si>
    <t xml:space="preserve">Inbound (organizer)</t>
  </si>
  <si>
    <t xml:space="preserve">By pay-to-play</t>
  </si>
  <si>
    <t xml:space="preserve">No (earned/free)</t>
  </si>
  <si>
    <t xml:space="preserve">Passed</t>
  </si>
  <si>
    <t xml:space="preserve">(blank / untracked)</t>
  </si>
  <si>
    <t xml:space="preserve">Flags</t>
  </si>
  <si>
    <t xml:space="preserve">Urgent</t>
  </si>
  <si>
    <t xml:space="preserve">Seed / priority targets</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</si>
</sst>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color rgb="FF1F3A5F"/>
      <name val="Arial"/>
      <family val="0"/>
      <charset val="1"/>
    </font>
    <font>
      <sz val="9"/>
      <color rgb="FF808080"/>
      <name val="Arial"/>
      <family val="0"/>
      <charset val="1"/>
    </font>
    <font>
      <b val="true"/>
      <sz val="10"/>
      <color rgb="FF000000"/>
      <name val="Arial"/>
      <family val="0"/>
      <charset val="1"/>
    </font>
    <font>
      <b val="true"/>
      <sz val="10"/>
      <name val="Arial"/>
      <family val="0"/>
      <charset val="1"/>
    </font>
    <font>
      <sz val="10"/>
      <color rgb="FF000000"/>
      <name val="Arial"/>
      <family val="0"/>
      <charset val="1"/>
    </font>
  </fonts>
  <fills count="3">
    <fill>
      <patternFill patternType="none"/>
    </fill>
    <fill>
      <patternFill patternType="gray125"/>
    </fill>
    <fill>
      <patternFill patternType="solid">
        <fgColor rgb="FF1F3A5F"/>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18"/>
    <col collapsed="false" customWidth="true" hidden="false" outlineLevel="0" max="5" min="5" style="0" width="9"/>
    <col collapsed="false" customWidth="true" hidden="false" outlineLevel="0" max="6" min="6" style="0" width="11"/>
    <col collapsed="false" customWidth="true" hidden="false" outlineLevel="0" max="7" min="7" style="0" width="8"/>
    <col collapsed="false" customWidth="true" hidden="false" outlineLevel="0" max="8" min="8" style="0" width="7"/>
    <col collapsed="false" customWidth="true" hidden="false" outlineLevel="0" max="12" min="9" style="0" width="16"/>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6" min="16" style="0" width="14"/>
    <col collapsed="false" customWidth="true" hidden="false" outlineLevel="0" max="17" min="17" style="0" width="22"/>
    <col collapsed="false" customWidth="true" hidden="false" outlineLevel="0" max="18" min="18" style="0" width="46"/>
    <col collapsed="false" customWidth="true" hidden="false" outlineLevel="0" max="19" min="19" style="0" width="54"/>
    <col collapsed="false" customWidth="true" hidden="false" outlineLevel="0" max="21" min="20" style="0" width="40"/>
    <col collapsed="false" customWidth="true" hidden="false" outlineLevel="0" max="22" min="22" style="0" width="44"/>
    <col collapsed="false" customWidth="true" hidden="false" outlineLevel="0" max="23" min="23" style="0" width="28"/>
    <col collapsed="false" customWidth="true" hidden="false" outlineLevel="0" max="24" min="24" style="0" width="24"/>
    <col collapsed="false" customWidth="true" hidden="false" outlineLevel="0" max="25" min="25" style="0" width="34"/>
    <col collapsed="false" customWidth="true" hidden="false" outlineLevel="0" max="26" min="26" style="0" width="46"/>
    <col collapsed="false" customWidth="true" hidden="false" outlineLevel="0" max="27" min="27" style="0" width="38"/>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ustomFormat="false" ht="62.25" hidden="false" customHeight="true" outlineLevel="0" collapsed="false">
      <c r="A2" s="2" t="n">
        <v>1</v>
      </c>
      <c r="B2" s="2" t="s">
        <v>27</v>
      </c>
      <c r="C2" s="2"/>
      <c r="D2" s="2"/>
      <c r="E2" s="2" t="s">
        <v>28</v>
      </c>
      <c r="F2" s="2" t="s">
        <v>29</v>
      </c>
      <c r="G2" s="2" t="s">
        <v>30</v>
      </c>
      <c r="H2" s="2" t="s">
        <v>30</v>
      </c>
      <c r="I2" s="2" t="s">
        <v>31</v>
      </c>
      <c r="J2" s="2" t="s">
        <v>31</v>
      </c>
      <c r="K2" s="2" t="s">
        <v>32</v>
      </c>
      <c r="L2" s="2" t="s">
        <v>33</v>
      </c>
      <c r="M2" s="2" t="s">
        <v>34</v>
      </c>
      <c r="N2" s="3" t="s">
        <v>35</v>
      </c>
      <c r="O2" s="3" t="s">
        <v>36</v>
      </c>
      <c r="P2" s="2"/>
      <c r="Q2" s="2" t="s">
        <v>29</v>
      </c>
      <c r="R2" s="3" t="s">
        <v>37</v>
      </c>
      <c r="S2" s="3" t="s">
        <v>38</v>
      </c>
      <c r="T2" s="3" t="s">
        <v>39</v>
      </c>
      <c r="U2" s="3" t="s">
        <v>40</v>
      </c>
      <c r="V2" s="3" t="s">
        <v>41</v>
      </c>
      <c r="W2" s="3" t="s">
        <v>42</v>
      </c>
      <c r="X2" s="2"/>
      <c r="Y2" s="2" t="s">
        <v>43</v>
      </c>
      <c r="Z2" s="3"/>
      <c r="AA2" s="2" t="s">
        <v>44</v>
      </c>
    </row>
    <row r="3" customFormat="false" ht="62.25" hidden="false" customHeight="true" outlineLevel="0" collapsed="false">
      <c r="A3" s="2" t="n">
        <v>2</v>
      </c>
      <c r="B3" s="2" t="s">
        <v>45</v>
      </c>
      <c r="C3" s="2"/>
      <c r="D3" s="2"/>
      <c r="E3" s="2" t="s">
        <v>28</v>
      </c>
      <c r="F3" s="2" t="s">
        <v>29</v>
      </c>
      <c r="G3" s="2" t="s">
        <v>30</v>
      </c>
      <c r="H3" s="2" t="s">
        <v>30</v>
      </c>
      <c r="I3" s="2" t="s">
        <v>46</v>
      </c>
      <c r="J3" s="2" t="s">
        <v>46</v>
      </c>
      <c r="K3" s="2" t="s">
        <v>32</v>
      </c>
      <c r="L3" s="2" t="s">
        <v>33</v>
      </c>
      <c r="M3" s="2" t="s">
        <v>34</v>
      </c>
      <c r="N3" s="3" t="s">
        <v>35</v>
      </c>
      <c r="O3" s="3" t="s">
        <v>36</v>
      </c>
      <c r="P3" s="2"/>
      <c r="Q3" s="2" t="s">
        <v>29</v>
      </c>
      <c r="R3" s="3" t="s">
        <v>47</v>
      </c>
      <c r="S3" s="3" t="s">
        <v>48</v>
      </c>
      <c r="T3" s="3" t="s">
        <v>49</v>
      </c>
      <c r="U3" s="3" t="s">
        <v>50</v>
      </c>
      <c r="V3" s="3" t="s">
        <v>51</v>
      </c>
      <c r="W3" s="3" t="s">
        <v>52</v>
      </c>
      <c r="X3" s="2"/>
      <c r="Y3" s="2" t="s">
        <v>53</v>
      </c>
      <c r="Z3" s="3"/>
      <c r="AA3" s="2" t="s">
        <v>54</v>
      </c>
    </row>
    <row r="4" customFormat="false" ht="49.5" hidden="false" customHeight="true" outlineLevel="0" collapsed="false">
      <c r="A4" s="2" t="n">
        <v>3</v>
      </c>
      <c r="B4" s="2" t="s">
        <v>55</v>
      </c>
      <c r="C4" s="2"/>
      <c r="D4" s="2"/>
      <c r="E4" s="2" t="s">
        <v>56</v>
      </c>
      <c r="F4" s="2" t="s">
        <v>57</v>
      </c>
      <c r="G4" s="2" t="s">
        <v>30</v>
      </c>
      <c r="H4" s="2" t="s">
        <v>30</v>
      </c>
      <c r="I4" s="2" t="s">
        <v>58</v>
      </c>
      <c r="J4" s="2" t="s">
        <v>58</v>
      </c>
      <c r="K4" s="2" t="s">
        <v>59</v>
      </c>
      <c r="L4" s="2" t="s">
        <v>33</v>
      </c>
      <c r="M4" s="2" t="s">
        <v>60</v>
      </c>
      <c r="N4" s="3" t="s">
        <v>61</v>
      </c>
      <c r="O4" s="3" t="s">
        <v>36</v>
      </c>
      <c r="P4" s="2" t="s">
        <v>62</v>
      </c>
      <c r="Q4" s="2" t="s">
        <v>29</v>
      </c>
      <c r="R4" s="3" t="s">
        <v>63</v>
      </c>
      <c r="S4" s="3" t="s">
        <v>64</v>
      </c>
      <c r="T4" s="3" t="s">
        <v>65</v>
      </c>
      <c r="U4" s="3" t="s">
        <v>66</v>
      </c>
      <c r="V4" s="3" t="s">
        <v>67</v>
      </c>
      <c r="W4" s="3" t="s">
        <v>68</v>
      </c>
      <c r="X4" s="2"/>
      <c r="Y4" s="2" t="s">
        <v>69</v>
      </c>
      <c r="Z4" s="3"/>
      <c r="AA4" s="2" t="s">
        <v>70</v>
      </c>
    </row>
    <row r="5" customFormat="false" ht="75" hidden="false" customHeight="true" outlineLevel="0" collapsed="false">
      <c r="A5" s="2" t="n">
        <v>4</v>
      </c>
      <c r="B5" s="2" t="s">
        <v>71</v>
      </c>
      <c r="C5" s="2"/>
      <c r="D5" s="2"/>
      <c r="E5" s="2" t="s">
        <v>28</v>
      </c>
      <c r="F5" s="2" t="s">
        <v>57</v>
      </c>
      <c r="G5" s="2" t="s">
        <v>30</v>
      </c>
      <c r="H5" s="2" t="s">
        <v>30</v>
      </c>
      <c r="I5" s="2" t="s">
        <v>72</v>
      </c>
      <c r="J5" s="2" t="s">
        <v>73</v>
      </c>
      <c r="K5" s="2" t="s">
        <v>74</v>
      </c>
      <c r="L5" s="2" t="s">
        <v>33</v>
      </c>
      <c r="M5" s="2" t="s">
        <v>74</v>
      </c>
      <c r="N5" s="3" t="s">
        <v>75</v>
      </c>
      <c r="O5" s="3" t="s">
        <v>36</v>
      </c>
      <c r="P5" s="2" t="s">
        <v>76</v>
      </c>
      <c r="Q5" s="2" t="s">
        <v>29</v>
      </c>
      <c r="R5" s="3" t="s">
        <v>77</v>
      </c>
      <c r="S5" s="3" t="s">
        <v>78</v>
      </c>
      <c r="T5" s="3" t="s">
        <v>79</v>
      </c>
      <c r="U5" s="3" t="s">
        <v>80</v>
      </c>
      <c r="V5" s="3" t="s">
        <v>81</v>
      </c>
      <c r="W5" s="3" t="s">
        <v>82</v>
      </c>
      <c r="X5" s="2"/>
      <c r="Y5" s="2" t="s">
        <v>83</v>
      </c>
      <c r="Z5" s="3"/>
      <c r="AA5" s="2" t="s">
        <v>84</v>
      </c>
    </row>
    <row r="6" customFormat="false" ht="62.25" hidden="false" customHeight="true" outlineLevel="0" collapsed="false">
      <c r="A6" s="2" t="n">
        <v>5</v>
      </c>
      <c r="B6" s="2" t="s">
        <v>85</v>
      </c>
      <c r="C6" s="2" t="s">
        <v>86</v>
      </c>
      <c r="D6" s="2" t="s">
        <v>87</v>
      </c>
      <c r="E6" s="2" t="s">
        <v>28</v>
      </c>
      <c r="F6" s="2" t="s">
        <v>57</v>
      </c>
      <c r="G6" s="2" t="s">
        <v>57</v>
      </c>
      <c r="H6" s="2" t="s">
        <v>30</v>
      </c>
      <c r="I6" s="2" t="s">
        <v>88</v>
      </c>
      <c r="J6" s="2" t="s">
        <v>89</v>
      </c>
      <c r="K6" s="2" t="s">
        <v>90</v>
      </c>
      <c r="L6" s="2" t="s">
        <v>33</v>
      </c>
      <c r="M6" s="2" t="s">
        <v>91</v>
      </c>
      <c r="N6" s="3" t="s">
        <v>92</v>
      </c>
      <c r="O6" s="3" t="s">
        <v>36</v>
      </c>
      <c r="P6" s="2" t="s">
        <v>93</v>
      </c>
      <c r="Q6" s="2" t="s">
        <v>94</v>
      </c>
      <c r="R6" s="3" t="s">
        <v>95</v>
      </c>
      <c r="S6" s="3" t="s">
        <v>96</v>
      </c>
      <c r="T6" s="3" t="s">
        <v>97</v>
      </c>
      <c r="U6" s="3" t="s">
        <v>98</v>
      </c>
      <c r="V6" s="3" t="s">
        <v>99</v>
      </c>
      <c r="W6" s="3" t="s">
        <v>100</v>
      </c>
      <c r="X6" s="2"/>
      <c r="Y6" s="2" t="s">
        <v>101</v>
      </c>
      <c r="Z6" s="3" t="s">
        <v>102</v>
      </c>
      <c r="AA6" s="2" t="s">
        <v>103</v>
      </c>
    </row>
    <row r="7" customFormat="false" ht="62.25" hidden="false" customHeight="true" outlineLevel="0" collapsed="false">
      <c r="A7" s="2" t="n">
        <v>6</v>
      </c>
      <c r="B7" s="2" t="s">
        <v>104</v>
      </c>
      <c r="C7" s="2"/>
      <c r="D7" s="2"/>
      <c r="E7" s="2" t="s">
        <v>28</v>
      </c>
      <c r="F7" s="2" t="s">
        <v>57</v>
      </c>
      <c r="G7" s="2" t="s">
        <v>30</v>
      </c>
      <c r="H7" s="2" t="s">
        <v>30</v>
      </c>
      <c r="I7" s="2" t="s">
        <v>105</v>
      </c>
      <c r="J7" s="2" t="s">
        <v>106</v>
      </c>
      <c r="K7" s="2" t="s">
        <v>107</v>
      </c>
      <c r="L7" s="2" t="s">
        <v>33</v>
      </c>
      <c r="M7" s="2" t="s">
        <v>107</v>
      </c>
      <c r="N7" s="3" t="s">
        <v>108</v>
      </c>
      <c r="O7" s="3" t="s">
        <v>36</v>
      </c>
      <c r="P7" s="2" t="s">
        <v>109</v>
      </c>
      <c r="Q7" s="2" t="s">
        <v>29</v>
      </c>
      <c r="R7" s="3" t="s">
        <v>110</v>
      </c>
      <c r="S7" s="3" t="s">
        <v>111</v>
      </c>
      <c r="T7" s="3" t="s">
        <v>112</v>
      </c>
      <c r="U7" s="3" t="s">
        <v>113</v>
      </c>
      <c r="V7" s="3" t="s">
        <v>114</v>
      </c>
      <c r="W7" s="3" t="s">
        <v>115</v>
      </c>
      <c r="X7" s="2"/>
      <c r="Y7" s="2" t="s">
        <v>115</v>
      </c>
      <c r="Z7" s="3"/>
      <c r="AA7" s="2" t="s">
        <v>116</v>
      </c>
    </row>
    <row r="8" customFormat="false" ht="87" hidden="false" customHeight="true" outlineLevel="0" collapsed="false">
      <c r="A8" s="2" t="n">
        <v>7</v>
      </c>
      <c r="B8" s="2" t="s">
        <v>117</v>
      </c>
      <c r="C8" s="2" t="s">
        <v>86</v>
      </c>
      <c r="D8" s="2" t="s">
        <v>87</v>
      </c>
      <c r="E8" s="2" t="s">
        <v>28</v>
      </c>
      <c r="F8" s="2" t="s">
        <v>30</v>
      </c>
      <c r="G8" s="2" t="s">
        <v>30</v>
      </c>
      <c r="H8" s="2" t="s">
        <v>57</v>
      </c>
      <c r="I8" s="2" t="s">
        <v>105</v>
      </c>
      <c r="J8" s="2" t="s">
        <v>118</v>
      </c>
      <c r="K8" s="2" t="s">
        <v>90</v>
      </c>
      <c r="L8" s="2" t="s">
        <v>33</v>
      </c>
      <c r="M8" s="2" t="s">
        <v>91</v>
      </c>
      <c r="N8" s="3" t="s">
        <v>119</v>
      </c>
      <c r="O8" s="3" t="s">
        <v>36</v>
      </c>
      <c r="P8" s="2"/>
      <c r="Q8" s="2" t="s">
        <v>29</v>
      </c>
      <c r="R8" s="3" t="s">
        <v>120</v>
      </c>
      <c r="S8" s="3" t="s">
        <v>121</v>
      </c>
      <c r="T8" s="3" t="s">
        <v>122</v>
      </c>
      <c r="U8" s="3" t="s">
        <v>123</v>
      </c>
      <c r="V8" s="3" t="s">
        <v>124</v>
      </c>
      <c r="W8" s="3" t="s">
        <v>125</v>
      </c>
      <c r="X8" s="2"/>
      <c r="Y8" s="2" t="s">
        <v>125</v>
      </c>
      <c r="Z8" s="3" t="s">
        <v>126</v>
      </c>
      <c r="AA8" s="2" t="s">
        <v>127</v>
      </c>
    </row>
    <row r="9" customFormat="false" ht="62.25" hidden="false" customHeight="true" outlineLevel="0" collapsed="false">
      <c r="A9" s="2" t="n">
        <v>8</v>
      </c>
      <c r="B9" s="2" t="s">
        <v>128</v>
      </c>
      <c r="C9" s="2"/>
      <c r="D9" s="2"/>
      <c r="E9" s="2" t="s">
        <v>28</v>
      </c>
      <c r="F9" s="2" t="s">
        <v>57</v>
      </c>
      <c r="G9" s="2" t="s">
        <v>30</v>
      </c>
      <c r="H9" s="2" t="s">
        <v>30</v>
      </c>
      <c r="I9" s="2" t="s">
        <v>118</v>
      </c>
      <c r="J9" s="2" t="s">
        <v>106</v>
      </c>
      <c r="K9" s="2" t="s">
        <v>74</v>
      </c>
      <c r="L9" s="2" t="s">
        <v>33</v>
      </c>
      <c r="M9" s="2" t="s">
        <v>74</v>
      </c>
      <c r="N9" s="3" t="s">
        <v>129</v>
      </c>
      <c r="O9" s="3" t="s">
        <v>36</v>
      </c>
      <c r="P9" s="2" t="s">
        <v>130</v>
      </c>
      <c r="Q9" s="2" t="s">
        <v>29</v>
      </c>
      <c r="R9" s="3" t="s">
        <v>131</v>
      </c>
      <c r="S9" s="3" t="s">
        <v>132</v>
      </c>
      <c r="T9" s="3" t="s">
        <v>133</v>
      </c>
      <c r="U9" s="3" t="s">
        <v>134</v>
      </c>
      <c r="V9" s="3" t="s">
        <v>135</v>
      </c>
      <c r="W9" s="3" t="s">
        <v>136</v>
      </c>
      <c r="X9" s="2"/>
      <c r="Y9" s="2" t="s">
        <v>136</v>
      </c>
      <c r="Z9" s="3"/>
      <c r="AA9" s="2" t="s">
        <v>137</v>
      </c>
    </row>
    <row r="10" customFormat="false" ht="62.25" hidden="false" customHeight="true" outlineLevel="0" collapsed="false">
      <c r="A10" s="2" t="n">
        <v>9</v>
      </c>
      <c r="B10" s="2" t="s">
        <v>138</v>
      </c>
      <c r="C10" s="2"/>
      <c r="D10" s="2"/>
      <c r="E10" s="2" t="s">
        <v>28</v>
      </c>
      <c r="F10" s="2" t="s">
        <v>57</v>
      </c>
      <c r="G10" s="2" t="s">
        <v>30</v>
      </c>
      <c r="H10" s="2" t="s">
        <v>30</v>
      </c>
      <c r="I10" s="2" t="s">
        <v>139</v>
      </c>
      <c r="J10" s="2" t="s">
        <v>139</v>
      </c>
      <c r="K10" s="2" t="s">
        <v>90</v>
      </c>
      <c r="L10" s="2" t="s">
        <v>33</v>
      </c>
      <c r="M10" s="2" t="s">
        <v>91</v>
      </c>
      <c r="N10" s="3" t="s">
        <v>140</v>
      </c>
      <c r="O10" s="3" t="s">
        <v>36</v>
      </c>
      <c r="P10" s="2" t="s">
        <v>141</v>
      </c>
      <c r="Q10" s="2" t="s">
        <v>29</v>
      </c>
      <c r="R10" s="3" t="s">
        <v>142</v>
      </c>
      <c r="S10" s="3" t="s">
        <v>143</v>
      </c>
      <c r="T10" s="3" t="s">
        <v>144</v>
      </c>
      <c r="U10" s="3" t="s">
        <v>145</v>
      </c>
      <c r="V10" s="3" t="s">
        <v>146</v>
      </c>
      <c r="W10" s="3" t="s">
        <v>147</v>
      </c>
      <c r="X10" s="2"/>
      <c r="Y10" s="2" t="s">
        <v>147</v>
      </c>
      <c r="Z10" s="3"/>
      <c r="AA10" s="2" t="s">
        <v>148</v>
      </c>
    </row>
    <row r="11" customFormat="false" ht="62.25" hidden="false" customHeight="true" outlineLevel="0" collapsed="false">
      <c r="A11" s="2" t="n">
        <v>10</v>
      </c>
      <c r="B11" s="2" t="s">
        <v>149</v>
      </c>
      <c r="C11" s="2"/>
      <c r="D11" s="2"/>
      <c r="E11" s="2" t="s">
        <v>56</v>
      </c>
      <c r="F11" s="2" t="s">
        <v>29</v>
      </c>
      <c r="G11" s="2" t="s">
        <v>30</v>
      </c>
      <c r="H11" s="2" t="s">
        <v>30</v>
      </c>
      <c r="I11" s="2" t="s">
        <v>139</v>
      </c>
      <c r="J11" s="2" t="s">
        <v>150</v>
      </c>
      <c r="K11" s="2" t="s">
        <v>151</v>
      </c>
      <c r="L11" s="2" t="s">
        <v>152</v>
      </c>
      <c r="M11" s="2" t="s">
        <v>153</v>
      </c>
      <c r="N11" s="3" t="s">
        <v>154</v>
      </c>
      <c r="O11" s="3" t="s">
        <v>36</v>
      </c>
      <c r="P11" s="2"/>
      <c r="Q11" s="2" t="s">
        <v>29</v>
      </c>
      <c r="R11" s="3" t="s">
        <v>155</v>
      </c>
      <c r="S11" s="3" t="s">
        <v>156</v>
      </c>
      <c r="T11" s="3" t="s">
        <v>157</v>
      </c>
      <c r="U11" s="3" t="s">
        <v>158</v>
      </c>
      <c r="V11" s="3" t="s">
        <v>159</v>
      </c>
      <c r="W11" s="3" t="s">
        <v>160</v>
      </c>
      <c r="X11" s="2"/>
      <c r="Y11" s="2" t="s">
        <v>160</v>
      </c>
      <c r="Z11" s="3"/>
      <c r="AA11" s="2" t="s">
        <v>161</v>
      </c>
    </row>
    <row r="12" customFormat="false" ht="62.25" hidden="false" customHeight="true" outlineLevel="0" collapsed="false">
      <c r="A12" s="2" t="n">
        <v>11</v>
      </c>
      <c r="B12" s="2" t="s">
        <v>162</v>
      </c>
      <c r="C12" s="2"/>
      <c r="D12" s="2"/>
      <c r="E12" s="2" t="s">
        <v>28</v>
      </c>
      <c r="F12" s="2" t="s">
        <v>57</v>
      </c>
      <c r="G12" s="2" t="s">
        <v>30</v>
      </c>
      <c r="H12" s="2" t="s">
        <v>30</v>
      </c>
      <c r="I12" s="2" t="s">
        <v>163</v>
      </c>
      <c r="J12" s="2" t="s">
        <v>164</v>
      </c>
      <c r="K12" s="2" t="s">
        <v>165</v>
      </c>
      <c r="L12" s="2" t="s">
        <v>166</v>
      </c>
      <c r="M12" s="2" t="s">
        <v>165</v>
      </c>
      <c r="N12" s="3" t="s">
        <v>167</v>
      </c>
      <c r="O12" s="3" t="s">
        <v>36</v>
      </c>
      <c r="P12" s="2" t="s">
        <v>168</v>
      </c>
      <c r="Q12" s="2" t="s">
        <v>29</v>
      </c>
      <c r="R12" s="3" t="s">
        <v>169</v>
      </c>
      <c r="S12" s="3" t="s">
        <v>170</v>
      </c>
      <c r="T12" s="3" t="s">
        <v>171</v>
      </c>
      <c r="U12" s="3" t="s">
        <v>172</v>
      </c>
      <c r="V12" s="3" t="s">
        <v>173</v>
      </c>
      <c r="W12" s="3" t="s">
        <v>174</v>
      </c>
      <c r="X12" s="2"/>
      <c r="Y12" s="2" t="s">
        <v>174</v>
      </c>
      <c r="Z12" s="3"/>
      <c r="AA12" s="2" t="s">
        <v>175</v>
      </c>
    </row>
    <row r="13" customFormat="false" ht="75" hidden="false" customHeight="true" outlineLevel="0" collapsed="false">
      <c r="A13" s="2" t="n">
        <v>12</v>
      </c>
      <c r="B13" s="2" t="s">
        <v>176</v>
      </c>
      <c r="C13" s="2"/>
      <c r="D13" s="2"/>
      <c r="E13" s="2" t="s">
        <v>28</v>
      </c>
      <c r="F13" s="2" t="s">
        <v>177</v>
      </c>
      <c r="G13" s="2" t="s">
        <v>30</v>
      </c>
      <c r="H13" s="2" t="s">
        <v>57</v>
      </c>
      <c r="I13" s="2" t="s">
        <v>178</v>
      </c>
      <c r="J13" s="2" t="s">
        <v>179</v>
      </c>
      <c r="K13" s="2" t="s">
        <v>180</v>
      </c>
      <c r="L13" s="2" t="s">
        <v>33</v>
      </c>
      <c r="M13" s="2" t="s">
        <v>34</v>
      </c>
      <c r="N13" s="3" t="s">
        <v>181</v>
      </c>
      <c r="O13" s="3" t="s">
        <v>36</v>
      </c>
      <c r="P13" s="2" t="s">
        <v>182</v>
      </c>
      <c r="Q13" s="2" t="s">
        <v>183</v>
      </c>
      <c r="R13" s="3" t="s">
        <v>184</v>
      </c>
      <c r="S13" s="3" t="s">
        <v>185</v>
      </c>
      <c r="T13" s="3" t="s">
        <v>186</v>
      </c>
      <c r="U13" s="3" t="s">
        <v>187</v>
      </c>
      <c r="V13" s="3" t="s">
        <v>188</v>
      </c>
      <c r="W13" s="3"/>
      <c r="X13" s="2"/>
      <c r="Y13" s="2" t="s">
        <v>189</v>
      </c>
      <c r="Z13" s="3"/>
      <c r="AA13" s="2" t="s">
        <v>190</v>
      </c>
    </row>
    <row r="14" customFormat="false" ht="75" hidden="false" customHeight="true" outlineLevel="0" collapsed="false">
      <c r="A14" s="2" t="n">
        <v>13</v>
      </c>
      <c r="B14" s="2" t="s">
        <v>191</v>
      </c>
      <c r="C14" s="2" t="s">
        <v>86</v>
      </c>
      <c r="D14" s="2"/>
      <c r="E14" s="2" t="s">
        <v>28</v>
      </c>
      <c r="F14" s="2" t="s">
        <v>177</v>
      </c>
      <c r="G14" s="2" t="s">
        <v>30</v>
      </c>
      <c r="H14" s="2" t="s">
        <v>30</v>
      </c>
      <c r="I14" s="2" t="s">
        <v>179</v>
      </c>
      <c r="J14" s="2" t="s">
        <v>179</v>
      </c>
      <c r="K14" s="2" t="s">
        <v>192</v>
      </c>
      <c r="L14" s="2" t="s">
        <v>193</v>
      </c>
      <c r="M14" s="2" t="s">
        <v>194</v>
      </c>
      <c r="N14" s="3" t="s">
        <v>195</v>
      </c>
      <c r="O14" s="3" t="s">
        <v>36</v>
      </c>
      <c r="P14" s="2"/>
      <c r="Q14" s="2" t="s">
        <v>29</v>
      </c>
      <c r="R14" s="3" t="s">
        <v>196</v>
      </c>
      <c r="S14" s="3" t="s">
        <v>197</v>
      </c>
      <c r="T14" s="3" t="s">
        <v>198</v>
      </c>
      <c r="U14" s="3" t="s">
        <v>199</v>
      </c>
      <c r="V14" s="3" t="s">
        <v>200</v>
      </c>
      <c r="W14" s="3" t="s">
        <v>201</v>
      </c>
      <c r="X14" s="2"/>
      <c r="Y14" s="2" t="s">
        <v>202</v>
      </c>
      <c r="Z14" s="3" t="s">
        <v>203</v>
      </c>
      <c r="AA14" s="2" t="s">
        <v>204</v>
      </c>
    </row>
    <row r="15" customFormat="false" ht="62.25" hidden="false" customHeight="true" outlineLevel="0" collapsed="false">
      <c r="A15" s="2" t="n">
        <v>14</v>
      </c>
      <c r="B15" s="2" t="s">
        <v>205</v>
      </c>
      <c r="C15" s="2"/>
      <c r="D15" s="2"/>
      <c r="E15" s="2" t="s">
        <v>56</v>
      </c>
      <c r="F15" s="2" t="s">
        <v>57</v>
      </c>
      <c r="G15" s="2" t="s">
        <v>30</v>
      </c>
      <c r="H15" s="2" t="s">
        <v>30</v>
      </c>
      <c r="I15" s="2" t="s">
        <v>179</v>
      </c>
      <c r="J15" s="2" t="s">
        <v>179</v>
      </c>
      <c r="K15" s="2" t="s">
        <v>206</v>
      </c>
      <c r="L15" s="2" t="s">
        <v>33</v>
      </c>
      <c r="M15" s="2" t="s">
        <v>34</v>
      </c>
      <c r="N15" s="3" t="s">
        <v>207</v>
      </c>
      <c r="O15" s="3" t="s">
        <v>36</v>
      </c>
      <c r="P15" s="2" t="s">
        <v>62</v>
      </c>
      <c r="Q15" s="2" t="s">
        <v>29</v>
      </c>
      <c r="R15" s="3" t="s">
        <v>208</v>
      </c>
      <c r="S15" s="3" t="s">
        <v>209</v>
      </c>
      <c r="T15" s="3" t="s">
        <v>210</v>
      </c>
      <c r="U15" s="3" t="s">
        <v>211</v>
      </c>
      <c r="V15" s="3" t="s">
        <v>212</v>
      </c>
      <c r="W15" s="3" t="s">
        <v>213</v>
      </c>
      <c r="X15" s="2"/>
      <c r="Y15" s="2" t="s">
        <v>69</v>
      </c>
      <c r="Z15" s="3"/>
      <c r="AA15" s="2" t="s">
        <v>214</v>
      </c>
    </row>
    <row r="16" customFormat="false" ht="62.25" hidden="false" customHeight="true" outlineLevel="0" collapsed="false">
      <c r="A16" s="2" t="n">
        <v>15</v>
      </c>
      <c r="B16" s="2" t="s">
        <v>215</v>
      </c>
      <c r="C16" s="2"/>
      <c r="D16" s="2"/>
      <c r="E16" s="2" t="s">
        <v>28</v>
      </c>
      <c r="F16" s="2" t="s">
        <v>30</v>
      </c>
      <c r="G16" s="2" t="s">
        <v>30</v>
      </c>
      <c r="H16" s="2" t="s">
        <v>30</v>
      </c>
      <c r="I16" s="2" t="s">
        <v>216</v>
      </c>
      <c r="J16" s="2" t="s">
        <v>216</v>
      </c>
      <c r="K16" s="2" t="s">
        <v>217</v>
      </c>
      <c r="L16" s="2" t="s">
        <v>33</v>
      </c>
      <c r="M16" s="2" t="s">
        <v>107</v>
      </c>
      <c r="N16" s="3" t="s">
        <v>218</v>
      </c>
      <c r="O16" s="3" t="s">
        <v>36</v>
      </c>
      <c r="P16" s="2" t="s">
        <v>219</v>
      </c>
      <c r="Q16" s="2" t="s">
        <v>220</v>
      </c>
      <c r="R16" s="3" t="s">
        <v>221</v>
      </c>
      <c r="S16" s="3" t="s">
        <v>222</v>
      </c>
      <c r="T16" s="3" t="s">
        <v>223</v>
      </c>
      <c r="U16" s="3" t="s">
        <v>224</v>
      </c>
      <c r="V16" s="3" t="s">
        <v>225</v>
      </c>
      <c r="W16" s="3" t="s">
        <v>226</v>
      </c>
      <c r="X16" s="2"/>
      <c r="Y16" s="2" t="s">
        <v>227</v>
      </c>
      <c r="Z16" s="3"/>
      <c r="AA16" s="2" t="s">
        <v>228</v>
      </c>
    </row>
    <row r="17" customFormat="false" ht="62.25" hidden="false" customHeight="true" outlineLevel="0" collapsed="false">
      <c r="A17" s="2" t="n">
        <v>16</v>
      </c>
      <c r="B17" s="2" t="s">
        <v>229</v>
      </c>
      <c r="C17" s="2"/>
      <c r="D17" s="2"/>
      <c r="E17" s="2" t="s">
        <v>56</v>
      </c>
      <c r="F17" s="2" t="s">
        <v>57</v>
      </c>
      <c r="G17" s="2" t="s">
        <v>30</v>
      </c>
      <c r="H17" s="2" t="s">
        <v>30</v>
      </c>
      <c r="I17" s="2" t="s">
        <v>230</v>
      </c>
      <c r="J17" s="2" t="s">
        <v>231</v>
      </c>
      <c r="K17" s="2" t="s">
        <v>206</v>
      </c>
      <c r="L17" s="2" t="s">
        <v>33</v>
      </c>
      <c r="M17" s="2" t="s">
        <v>34</v>
      </c>
      <c r="N17" s="3" t="s">
        <v>232</v>
      </c>
      <c r="O17" s="3" t="s">
        <v>36</v>
      </c>
      <c r="P17" s="2" t="s">
        <v>182</v>
      </c>
      <c r="Q17" s="2" t="s">
        <v>29</v>
      </c>
      <c r="R17" s="3" t="s">
        <v>233</v>
      </c>
      <c r="S17" s="3" t="s">
        <v>234</v>
      </c>
      <c r="T17" s="3" t="s">
        <v>235</v>
      </c>
      <c r="U17" s="3" t="s">
        <v>236</v>
      </c>
      <c r="V17" s="3" t="s">
        <v>237</v>
      </c>
      <c r="W17" s="3" t="s">
        <v>238</v>
      </c>
      <c r="X17" s="2"/>
      <c r="Y17" s="2" t="s">
        <v>238</v>
      </c>
      <c r="Z17" s="3"/>
      <c r="AA17" s="2" t="s">
        <v>239</v>
      </c>
    </row>
    <row r="18" customFormat="false" ht="75" hidden="false" customHeight="true" outlineLevel="0" collapsed="false">
      <c r="A18" s="2" t="n">
        <v>17</v>
      </c>
      <c r="B18" s="2" t="s">
        <v>240</v>
      </c>
      <c r="C18" s="2"/>
      <c r="D18" s="2"/>
      <c r="E18" s="2" t="s">
        <v>56</v>
      </c>
      <c r="F18" s="2" t="s">
        <v>57</v>
      </c>
      <c r="G18" s="2" t="s">
        <v>30</v>
      </c>
      <c r="H18" s="2" t="s">
        <v>30</v>
      </c>
      <c r="I18" s="2" t="s">
        <v>241</v>
      </c>
      <c r="J18" s="2" t="s">
        <v>242</v>
      </c>
      <c r="K18" s="2" t="s">
        <v>206</v>
      </c>
      <c r="L18" s="2" t="s">
        <v>33</v>
      </c>
      <c r="M18" s="2" t="s">
        <v>34</v>
      </c>
      <c r="N18" s="3" t="s">
        <v>243</v>
      </c>
      <c r="O18" s="3" t="s">
        <v>36</v>
      </c>
      <c r="P18" s="2"/>
      <c r="Q18" s="2" t="s">
        <v>244</v>
      </c>
      <c r="R18" s="3" t="s">
        <v>245</v>
      </c>
      <c r="S18" s="3" t="s">
        <v>246</v>
      </c>
      <c r="T18" s="3" t="s">
        <v>247</v>
      </c>
      <c r="U18" s="3" t="s">
        <v>248</v>
      </c>
      <c r="V18" s="3" t="s">
        <v>249</v>
      </c>
      <c r="W18" s="3" t="s">
        <v>250</v>
      </c>
      <c r="X18" s="2"/>
      <c r="Y18" s="2" t="s">
        <v>250</v>
      </c>
      <c r="Z18" s="3"/>
      <c r="AA18" s="2" t="s">
        <v>251</v>
      </c>
    </row>
    <row r="19" customFormat="false" ht="49.5" hidden="false" customHeight="true" outlineLevel="0" collapsed="false">
      <c r="A19" s="2" t="n">
        <v>18</v>
      </c>
      <c r="B19" s="2" t="s">
        <v>252</v>
      </c>
      <c r="C19" s="2"/>
      <c r="D19" s="2"/>
      <c r="E19" s="2" t="s">
        <v>253</v>
      </c>
      <c r="F19" s="2" t="s">
        <v>177</v>
      </c>
      <c r="G19" s="2" t="s">
        <v>30</v>
      </c>
      <c r="H19" s="2" t="s">
        <v>30</v>
      </c>
      <c r="I19" s="2" t="s">
        <v>242</v>
      </c>
      <c r="J19" s="2" t="s">
        <v>254</v>
      </c>
      <c r="K19" s="2" t="s">
        <v>255</v>
      </c>
      <c r="L19" s="2" t="s">
        <v>256</v>
      </c>
      <c r="M19" s="2" t="s">
        <v>256</v>
      </c>
      <c r="N19" s="3" t="s">
        <v>257</v>
      </c>
      <c r="O19" s="3" t="s">
        <v>36</v>
      </c>
      <c r="P19" s="2" t="s">
        <v>258</v>
      </c>
      <c r="Q19" s="2" t="s">
        <v>29</v>
      </c>
      <c r="R19" s="3" t="s">
        <v>259</v>
      </c>
      <c r="S19" s="3" t="s">
        <v>260</v>
      </c>
      <c r="T19" s="3" t="s">
        <v>261</v>
      </c>
      <c r="U19" s="3" t="s">
        <v>262</v>
      </c>
      <c r="V19" s="3" t="s">
        <v>263</v>
      </c>
      <c r="W19" s="3" t="s">
        <v>264</v>
      </c>
      <c r="X19" s="2"/>
      <c r="Y19" s="2" t="s">
        <v>264</v>
      </c>
      <c r="Z19" s="3"/>
      <c r="AA19" s="2" t="s">
        <v>265</v>
      </c>
    </row>
    <row r="20" customFormat="false" ht="62.25" hidden="false" customHeight="true" outlineLevel="0" collapsed="false">
      <c r="A20" s="2" t="n">
        <v>19</v>
      </c>
      <c r="B20" s="2" t="s">
        <v>266</v>
      </c>
      <c r="C20" s="2"/>
      <c r="D20" s="2"/>
      <c r="E20" s="2" t="s">
        <v>28</v>
      </c>
      <c r="F20" s="2" t="s">
        <v>29</v>
      </c>
      <c r="G20" s="2" t="s">
        <v>30</v>
      </c>
      <c r="H20" s="2" t="s">
        <v>30</v>
      </c>
      <c r="I20" s="2" t="s">
        <v>231</v>
      </c>
      <c r="J20" s="2" t="s">
        <v>231</v>
      </c>
      <c r="K20" s="2" t="s">
        <v>90</v>
      </c>
      <c r="L20" s="2" t="s">
        <v>33</v>
      </c>
      <c r="M20" s="2" t="s">
        <v>91</v>
      </c>
      <c r="N20" s="3" t="s">
        <v>267</v>
      </c>
      <c r="O20" s="3" t="s">
        <v>36</v>
      </c>
      <c r="P20" s="2"/>
      <c r="Q20" s="2" t="s">
        <v>29</v>
      </c>
      <c r="R20" s="3" t="s">
        <v>268</v>
      </c>
      <c r="S20" s="3" t="s">
        <v>269</v>
      </c>
      <c r="T20" s="3" t="s">
        <v>270</v>
      </c>
      <c r="U20" s="3" t="s">
        <v>271</v>
      </c>
      <c r="V20" s="3" t="s">
        <v>272</v>
      </c>
      <c r="W20" s="3" t="s">
        <v>273</v>
      </c>
      <c r="X20" s="2"/>
      <c r="Y20" s="2" t="s">
        <v>274</v>
      </c>
      <c r="Z20" s="3"/>
      <c r="AA20" s="2" t="s">
        <v>275</v>
      </c>
    </row>
    <row r="21" customFormat="false" ht="62.25" hidden="false" customHeight="true" outlineLevel="0" collapsed="false">
      <c r="A21" s="2" t="n">
        <v>20</v>
      </c>
      <c r="B21" s="2" t="s">
        <v>276</v>
      </c>
      <c r="C21" s="2"/>
      <c r="D21" s="2"/>
      <c r="E21" s="2" t="s">
        <v>28</v>
      </c>
      <c r="F21" s="2" t="s">
        <v>29</v>
      </c>
      <c r="G21" s="2" t="s">
        <v>30</v>
      </c>
      <c r="H21" s="2" t="s">
        <v>30</v>
      </c>
      <c r="I21" s="2" t="s">
        <v>231</v>
      </c>
      <c r="J21" s="2" t="s">
        <v>231</v>
      </c>
      <c r="K21" s="2" t="s">
        <v>90</v>
      </c>
      <c r="L21" s="2" t="s">
        <v>33</v>
      </c>
      <c r="M21" s="2" t="s">
        <v>91</v>
      </c>
      <c r="N21" s="3" t="s">
        <v>267</v>
      </c>
      <c r="O21" s="3" t="s">
        <v>36</v>
      </c>
      <c r="P21" s="2"/>
      <c r="Q21" s="2" t="s">
        <v>29</v>
      </c>
      <c r="R21" s="3" t="s">
        <v>277</v>
      </c>
      <c r="S21" s="3" t="s">
        <v>278</v>
      </c>
      <c r="T21" s="3" t="s">
        <v>279</v>
      </c>
      <c r="U21" s="3" t="s">
        <v>50</v>
      </c>
      <c r="V21" s="3" t="s">
        <v>280</v>
      </c>
      <c r="W21" s="3" t="s">
        <v>281</v>
      </c>
      <c r="X21" s="2"/>
      <c r="Y21" s="2" t="s">
        <v>282</v>
      </c>
      <c r="Z21" s="3"/>
      <c r="AA21" s="2" t="s">
        <v>283</v>
      </c>
    </row>
    <row r="22" customFormat="false" ht="62.25" hidden="false" customHeight="true" outlineLevel="0" collapsed="false">
      <c r="A22" s="2" t="n">
        <v>21</v>
      </c>
      <c r="B22" s="2" t="s">
        <v>284</v>
      </c>
      <c r="C22" s="2"/>
      <c r="D22" s="2"/>
      <c r="E22" s="2" t="s">
        <v>56</v>
      </c>
      <c r="F22" s="2" t="s">
        <v>57</v>
      </c>
      <c r="G22" s="2" t="s">
        <v>30</v>
      </c>
      <c r="H22" s="2" t="s">
        <v>30</v>
      </c>
      <c r="I22" s="2" t="s">
        <v>231</v>
      </c>
      <c r="J22" s="2" t="s">
        <v>231</v>
      </c>
      <c r="K22" s="2" t="s">
        <v>90</v>
      </c>
      <c r="L22" s="2" t="s">
        <v>33</v>
      </c>
      <c r="M22" s="2" t="s">
        <v>91</v>
      </c>
      <c r="N22" s="3" t="s">
        <v>285</v>
      </c>
      <c r="O22" s="3" t="s">
        <v>36</v>
      </c>
      <c r="P22" s="2" t="s">
        <v>62</v>
      </c>
      <c r="Q22" s="2" t="s">
        <v>29</v>
      </c>
      <c r="R22" s="3" t="s">
        <v>286</v>
      </c>
      <c r="S22" s="3" t="s">
        <v>287</v>
      </c>
      <c r="T22" s="3" t="s">
        <v>288</v>
      </c>
      <c r="U22" s="3" t="s">
        <v>289</v>
      </c>
      <c r="V22" s="3" t="s">
        <v>212</v>
      </c>
      <c r="W22" s="3" t="s">
        <v>213</v>
      </c>
      <c r="X22" s="2"/>
      <c r="Y22" s="2" t="s">
        <v>69</v>
      </c>
      <c r="Z22" s="3"/>
      <c r="AA22" s="2" t="s">
        <v>290</v>
      </c>
    </row>
    <row r="23" customFormat="false" ht="62.25" hidden="false" customHeight="true" outlineLevel="0" collapsed="false">
      <c r="A23" s="2" t="n">
        <v>22</v>
      </c>
      <c r="B23" s="2" t="s">
        <v>291</v>
      </c>
      <c r="C23" s="2"/>
      <c r="D23" s="2"/>
      <c r="E23" s="2" t="s">
        <v>56</v>
      </c>
      <c r="F23" s="2" t="s">
        <v>57</v>
      </c>
      <c r="G23" s="2" t="s">
        <v>30</v>
      </c>
      <c r="H23" s="2" t="s">
        <v>30</v>
      </c>
      <c r="I23" s="2" t="s">
        <v>292</v>
      </c>
      <c r="J23" s="2" t="s">
        <v>293</v>
      </c>
      <c r="K23" s="2" t="s">
        <v>294</v>
      </c>
      <c r="L23" s="2" t="s">
        <v>33</v>
      </c>
      <c r="M23" s="2" t="s">
        <v>295</v>
      </c>
      <c r="N23" s="3" t="s">
        <v>296</v>
      </c>
      <c r="O23" s="3" t="s">
        <v>297</v>
      </c>
      <c r="P23" s="2" t="s">
        <v>298</v>
      </c>
      <c r="Q23" s="2" t="s">
        <v>299</v>
      </c>
      <c r="R23" s="3" t="s">
        <v>300</v>
      </c>
      <c r="S23" s="3" t="s">
        <v>301</v>
      </c>
      <c r="T23" s="3" t="s">
        <v>302</v>
      </c>
      <c r="U23" s="3" t="s">
        <v>303</v>
      </c>
      <c r="V23" s="3" t="s">
        <v>304</v>
      </c>
      <c r="W23" s="3" t="s">
        <v>305</v>
      </c>
      <c r="X23" s="2"/>
      <c r="Y23" s="2" t="s">
        <v>306</v>
      </c>
      <c r="Z23" s="3"/>
      <c r="AA23" s="2" t="s">
        <v>307</v>
      </c>
    </row>
    <row r="24" customFormat="false" ht="75" hidden="false" customHeight="true" outlineLevel="0" collapsed="false">
      <c r="A24" s="2" t="n">
        <v>23</v>
      </c>
      <c r="B24" s="2" t="s">
        <v>308</v>
      </c>
      <c r="C24" s="2"/>
      <c r="D24" s="2"/>
      <c r="E24" s="2" t="s">
        <v>28</v>
      </c>
      <c r="F24" s="2" t="s">
        <v>57</v>
      </c>
      <c r="G24" s="2" t="s">
        <v>30</v>
      </c>
      <c r="H24" s="2" t="s">
        <v>30</v>
      </c>
      <c r="I24" s="2" t="s">
        <v>292</v>
      </c>
      <c r="J24" s="2" t="s">
        <v>293</v>
      </c>
      <c r="K24" s="2" t="s">
        <v>309</v>
      </c>
      <c r="L24" s="2" t="s">
        <v>33</v>
      </c>
      <c r="M24" s="2" t="s">
        <v>295</v>
      </c>
      <c r="N24" s="3" t="s">
        <v>310</v>
      </c>
      <c r="O24" s="3" t="s">
        <v>36</v>
      </c>
      <c r="P24" s="2"/>
      <c r="Q24" s="2" t="s">
        <v>29</v>
      </c>
      <c r="R24" s="3" t="s">
        <v>311</v>
      </c>
      <c r="S24" s="3" t="s">
        <v>312</v>
      </c>
      <c r="T24" s="3" t="s">
        <v>313</v>
      </c>
      <c r="U24" s="3" t="s">
        <v>314</v>
      </c>
      <c r="V24" s="3" t="s">
        <v>315</v>
      </c>
      <c r="W24" s="3" t="s">
        <v>316</v>
      </c>
      <c r="X24" s="2"/>
      <c r="Y24" s="2" t="s">
        <v>317</v>
      </c>
      <c r="Z24" s="3"/>
      <c r="AA24" s="2" t="s">
        <v>318</v>
      </c>
    </row>
    <row r="25" customFormat="false" ht="75" hidden="false" customHeight="true" outlineLevel="0" collapsed="false">
      <c r="A25" s="2" t="n">
        <v>24</v>
      </c>
      <c r="B25" s="2" t="s">
        <v>319</v>
      </c>
      <c r="C25" s="2" t="s">
        <v>86</v>
      </c>
      <c r="D25" s="2" t="s">
        <v>320</v>
      </c>
      <c r="E25" s="2" t="s">
        <v>28</v>
      </c>
      <c r="F25" s="2" t="s">
        <v>57</v>
      </c>
      <c r="G25" s="2" t="s">
        <v>30</v>
      </c>
      <c r="H25" s="2" t="s">
        <v>30</v>
      </c>
      <c r="I25" s="2" t="s">
        <v>293</v>
      </c>
      <c r="J25" s="2" t="s">
        <v>321</v>
      </c>
      <c r="K25" s="2" t="s">
        <v>165</v>
      </c>
      <c r="L25" s="2" t="s">
        <v>166</v>
      </c>
      <c r="M25" s="2" t="s">
        <v>165</v>
      </c>
      <c r="N25" s="3" t="s">
        <v>322</v>
      </c>
      <c r="O25" s="3" t="s">
        <v>36</v>
      </c>
      <c r="P25" s="2" t="s">
        <v>323</v>
      </c>
      <c r="Q25" s="2" t="s">
        <v>29</v>
      </c>
      <c r="R25" s="3" t="s">
        <v>324</v>
      </c>
      <c r="S25" s="3" t="s">
        <v>325</v>
      </c>
      <c r="T25" s="3" t="s">
        <v>326</v>
      </c>
      <c r="U25" s="3" t="s">
        <v>327</v>
      </c>
      <c r="V25" s="3" t="s">
        <v>328</v>
      </c>
      <c r="W25" s="3" t="s">
        <v>329</v>
      </c>
      <c r="X25" s="2"/>
      <c r="Y25" s="2" t="s">
        <v>330</v>
      </c>
      <c r="Z25" s="3" t="s">
        <v>331</v>
      </c>
      <c r="AA25" s="2" t="s">
        <v>332</v>
      </c>
    </row>
    <row r="26" customFormat="false" ht="62.25" hidden="false" customHeight="true" outlineLevel="0" collapsed="false">
      <c r="A26" s="2" t="n">
        <v>25</v>
      </c>
      <c r="B26" s="2" t="s">
        <v>333</v>
      </c>
      <c r="C26" s="2"/>
      <c r="D26" s="2"/>
      <c r="E26" s="2" t="s">
        <v>28</v>
      </c>
      <c r="F26" s="2" t="s">
        <v>29</v>
      </c>
      <c r="G26" s="2" t="s">
        <v>30</v>
      </c>
      <c r="H26" s="2" t="s">
        <v>30</v>
      </c>
      <c r="I26" s="2" t="s">
        <v>293</v>
      </c>
      <c r="J26" s="2" t="s">
        <v>293</v>
      </c>
      <c r="K26" s="2" t="s">
        <v>90</v>
      </c>
      <c r="L26" s="2" t="s">
        <v>33</v>
      </c>
      <c r="M26" s="2" t="s">
        <v>91</v>
      </c>
      <c r="N26" s="3" t="s">
        <v>285</v>
      </c>
      <c r="O26" s="3" t="s">
        <v>36</v>
      </c>
      <c r="P26" s="2"/>
      <c r="Q26" s="2" t="s">
        <v>29</v>
      </c>
      <c r="R26" s="3" t="s">
        <v>334</v>
      </c>
      <c r="S26" s="3" t="s">
        <v>335</v>
      </c>
      <c r="T26" s="3" t="s">
        <v>336</v>
      </c>
      <c r="U26" s="3" t="s">
        <v>337</v>
      </c>
      <c r="V26" s="3" t="s">
        <v>338</v>
      </c>
      <c r="W26" s="3" t="s">
        <v>339</v>
      </c>
      <c r="X26" s="2"/>
      <c r="Y26" s="2" t="s">
        <v>339</v>
      </c>
      <c r="Z26" s="3"/>
      <c r="AA26" s="2" t="s">
        <v>340</v>
      </c>
    </row>
    <row r="27" customFormat="false" ht="62.25" hidden="false" customHeight="true" outlineLevel="0" collapsed="false">
      <c r="A27" s="2" t="n">
        <v>26</v>
      </c>
      <c r="B27" s="2" t="s">
        <v>341</v>
      </c>
      <c r="C27" s="2"/>
      <c r="D27" s="2"/>
      <c r="E27" s="2" t="s">
        <v>28</v>
      </c>
      <c r="F27" s="2" t="s">
        <v>177</v>
      </c>
      <c r="G27" s="2" t="s">
        <v>30</v>
      </c>
      <c r="H27" s="2" t="s">
        <v>30</v>
      </c>
      <c r="I27" s="2" t="s">
        <v>342</v>
      </c>
      <c r="J27" s="2" t="s">
        <v>343</v>
      </c>
      <c r="K27" s="2" t="s">
        <v>206</v>
      </c>
      <c r="L27" s="2" t="s">
        <v>33</v>
      </c>
      <c r="M27" s="2" t="s">
        <v>34</v>
      </c>
      <c r="N27" s="3" t="s">
        <v>232</v>
      </c>
      <c r="O27" s="3" t="s">
        <v>36</v>
      </c>
      <c r="P27" s="2"/>
      <c r="Q27" s="2" t="s">
        <v>29</v>
      </c>
      <c r="R27" s="3" t="s">
        <v>344</v>
      </c>
      <c r="S27" s="3" t="s">
        <v>345</v>
      </c>
      <c r="T27" s="3" t="s">
        <v>346</v>
      </c>
      <c r="U27" s="3" t="s">
        <v>347</v>
      </c>
      <c r="V27" s="3" t="s">
        <v>348</v>
      </c>
      <c r="W27" s="3" t="s">
        <v>349</v>
      </c>
      <c r="X27" s="2"/>
      <c r="Y27" s="2" t="s">
        <v>349</v>
      </c>
      <c r="Z27" s="3"/>
      <c r="AA27" s="2" t="s">
        <v>350</v>
      </c>
    </row>
    <row r="28" customFormat="false" ht="62.25" hidden="false" customHeight="true" outlineLevel="0" collapsed="false">
      <c r="A28" s="2" t="n">
        <v>27</v>
      </c>
      <c r="B28" s="2" t="s">
        <v>351</v>
      </c>
      <c r="C28" s="2"/>
      <c r="D28" s="2"/>
      <c r="E28" s="2" t="s">
        <v>56</v>
      </c>
      <c r="F28" s="2" t="s">
        <v>177</v>
      </c>
      <c r="G28" s="2" t="s">
        <v>30</v>
      </c>
      <c r="H28" s="2" t="s">
        <v>30</v>
      </c>
      <c r="I28" s="2" t="s">
        <v>352</v>
      </c>
      <c r="J28" s="2" t="s">
        <v>353</v>
      </c>
      <c r="K28" s="2" t="s">
        <v>354</v>
      </c>
      <c r="L28" s="2" t="s">
        <v>355</v>
      </c>
      <c r="M28" s="2" t="s">
        <v>153</v>
      </c>
      <c r="N28" s="3" t="s">
        <v>356</v>
      </c>
      <c r="O28" s="3" t="s">
        <v>357</v>
      </c>
      <c r="P28" s="2" t="s">
        <v>358</v>
      </c>
      <c r="Q28" s="2" t="s">
        <v>29</v>
      </c>
      <c r="R28" s="3" t="s">
        <v>359</v>
      </c>
      <c r="S28" s="3" t="s">
        <v>360</v>
      </c>
      <c r="T28" s="3" t="s">
        <v>361</v>
      </c>
      <c r="U28" s="3" t="s">
        <v>362</v>
      </c>
      <c r="V28" s="3" t="s">
        <v>363</v>
      </c>
      <c r="W28" s="3" t="s">
        <v>364</v>
      </c>
      <c r="X28" s="2"/>
      <c r="Y28" s="2" t="s">
        <v>364</v>
      </c>
      <c r="Z28" s="3"/>
      <c r="AA28" s="2" t="s">
        <v>365</v>
      </c>
    </row>
    <row r="29" customFormat="false" ht="49.5" hidden="false" customHeight="true" outlineLevel="0" collapsed="false">
      <c r="A29" s="2" t="n">
        <v>28</v>
      </c>
      <c r="B29" s="2" t="s">
        <v>366</v>
      </c>
      <c r="C29" s="2"/>
      <c r="D29" s="2"/>
      <c r="E29" s="2" t="s">
        <v>28</v>
      </c>
      <c r="F29" s="2" t="s">
        <v>29</v>
      </c>
      <c r="G29" s="2" t="s">
        <v>30</v>
      </c>
      <c r="H29" s="2" t="s">
        <v>57</v>
      </c>
      <c r="I29" s="2" t="s">
        <v>367</v>
      </c>
      <c r="J29" s="2" t="s">
        <v>368</v>
      </c>
      <c r="K29" s="2" t="s">
        <v>354</v>
      </c>
      <c r="L29" s="2" t="s">
        <v>355</v>
      </c>
      <c r="M29" s="2" t="s">
        <v>153</v>
      </c>
      <c r="N29" s="3" t="s">
        <v>356</v>
      </c>
      <c r="O29" s="3" t="s">
        <v>36</v>
      </c>
      <c r="P29" s="2"/>
      <c r="Q29" s="2" t="s">
        <v>29</v>
      </c>
      <c r="R29" s="3" t="s">
        <v>369</v>
      </c>
      <c r="S29" s="3" t="s">
        <v>370</v>
      </c>
      <c r="T29" s="3" t="s">
        <v>371</v>
      </c>
      <c r="U29" s="3" t="s">
        <v>372</v>
      </c>
      <c r="V29" s="3" t="s">
        <v>373</v>
      </c>
      <c r="W29" s="3" t="s">
        <v>374</v>
      </c>
      <c r="X29" s="2"/>
      <c r="Y29" s="2" t="s">
        <v>375</v>
      </c>
      <c r="Z29" s="3"/>
      <c r="AA29" s="2" t="s">
        <v>376</v>
      </c>
    </row>
    <row r="30" customFormat="false" ht="75" hidden="false" customHeight="true" outlineLevel="0" collapsed="false">
      <c r="A30" s="2" t="n">
        <v>29</v>
      </c>
      <c r="B30" s="2" t="s">
        <v>377</v>
      </c>
      <c r="C30" s="2"/>
      <c r="D30" s="2"/>
      <c r="E30" s="2" t="s">
        <v>28</v>
      </c>
      <c r="F30" s="2" t="s">
        <v>57</v>
      </c>
      <c r="G30" s="2" t="s">
        <v>30</v>
      </c>
      <c r="H30" s="2" t="s">
        <v>30</v>
      </c>
      <c r="I30" s="2" t="s">
        <v>378</v>
      </c>
      <c r="J30" s="2" t="s">
        <v>379</v>
      </c>
      <c r="K30" s="2" t="s">
        <v>74</v>
      </c>
      <c r="L30" s="2" t="s">
        <v>33</v>
      </c>
      <c r="M30" s="2" t="s">
        <v>74</v>
      </c>
      <c r="N30" s="3" t="s">
        <v>380</v>
      </c>
      <c r="O30" s="3" t="s">
        <v>36</v>
      </c>
      <c r="P30" s="2"/>
      <c r="Q30" s="2" t="s">
        <v>29</v>
      </c>
      <c r="R30" s="3" t="s">
        <v>381</v>
      </c>
      <c r="S30" s="3" t="s">
        <v>382</v>
      </c>
      <c r="T30" s="3" t="s">
        <v>383</v>
      </c>
      <c r="U30" s="3" t="s">
        <v>384</v>
      </c>
      <c r="V30" s="3" t="s">
        <v>385</v>
      </c>
      <c r="W30" s="3" t="s">
        <v>386</v>
      </c>
      <c r="X30" s="2"/>
      <c r="Y30" s="2" t="s">
        <v>386</v>
      </c>
      <c r="Z30" s="3" t="s">
        <v>387</v>
      </c>
      <c r="AA30" s="2" t="s">
        <v>388</v>
      </c>
    </row>
    <row r="31" customFormat="false" ht="75" hidden="false" customHeight="true" outlineLevel="0" collapsed="false">
      <c r="A31" s="2" t="n">
        <v>30</v>
      </c>
      <c r="B31" s="2" t="s">
        <v>389</v>
      </c>
      <c r="C31" s="2"/>
      <c r="D31" s="2"/>
      <c r="E31" s="2" t="s">
        <v>28</v>
      </c>
      <c r="F31" s="2" t="s">
        <v>29</v>
      </c>
      <c r="G31" s="2" t="s">
        <v>57</v>
      </c>
      <c r="H31" s="2" t="s">
        <v>30</v>
      </c>
      <c r="I31" s="2" t="s">
        <v>390</v>
      </c>
      <c r="J31" s="2" t="s">
        <v>72</v>
      </c>
      <c r="K31" s="2" t="s">
        <v>90</v>
      </c>
      <c r="L31" s="2" t="s">
        <v>33</v>
      </c>
      <c r="M31" s="2" t="s">
        <v>91</v>
      </c>
      <c r="N31" s="3" t="s">
        <v>391</v>
      </c>
      <c r="O31" s="3" t="s">
        <v>36</v>
      </c>
      <c r="P31" s="2" t="s">
        <v>93</v>
      </c>
      <c r="Q31" s="2" t="s">
        <v>392</v>
      </c>
      <c r="R31" s="3" t="s">
        <v>393</v>
      </c>
      <c r="S31" s="3" t="s">
        <v>394</v>
      </c>
      <c r="T31" s="3" t="s">
        <v>395</v>
      </c>
      <c r="U31" s="3" t="s">
        <v>396</v>
      </c>
      <c r="V31" s="3" t="s">
        <v>397</v>
      </c>
      <c r="W31" s="3" t="s">
        <v>398</v>
      </c>
      <c r="X31" s="2"/>
      <c r="Y31" s="2" t="s">
        <v>399</v>
      </c>
      <c r="Z31" s="3"/>
      <c r="AA31" s="2" t="s">
        <v>400</v>
      </c>
    </row>
    <row r="32" customFormat="false" ht="87" hidden="false" customHeight="true" outlineLevel="0" collapsed="false">
      <c r="A32" s="2" t="n">
        <v>31</v>
      </c>
      <c r="B32" s="2" t="s">
        <v>401</v>
      </c>
      <c r="C32" s="2"/>
      <c r="D32" s="2"/>
      <c r="E32" s="2" t="s">
        <v>56</v>
      </c>
      <c r="F32" s="2" t="s">
        <v>57</v>
      </c>
      <c r="G32" s="2" t="s">
        <v>30</v>
      </c>
      <c r="H32" s="2" t="s">
        <v>30</v>
      </c>
      <c r="I32" s="2" t="s">
        <v>88</v>
      </c>
      <c r="J32" s="2" t="s">
        <v>89</v>
      </c>
      <c r="K32" s="2" t="s">
        <v>165</v>
      </c>
      <c r="L32" s="2" t="s">
        <v>166</v>
      </c>
      <c r="M32" s="2" t="s">
        <v>165</v>
      </c>
      <c r="N32" s="3" t="s">
        <v>167</v>
      </c>
      <c r="O32" s="3" t="s">
        <v>36</v>
      </c>
      <c r="P32" s="2"/>
      <c r="Q32" s="2" t="s">
        <v>29</v>
      </c>
      <c r="R32" s="3" t="s">
        <v>402</v>
      </c>
      <c r="S32" s="3" t="s">
        <v>403</v>
      </c>
      <c r="T32" s="3" t="s">
        <v>404</v>
      </c>
      <c r="U32" s="3" t="s">
        <v>405</v>
      </c>
      <c r="V32" s="3" t="s">
        <v>406</v>
      </c>
      <c r="W32" s="3" t="s">
        <v>407</v>
      </c>
      <c r="X32" s="2"/>
      <c r="Y32" s="2" t="s">
        <v>407</v>
      </c>
      <c r="Z32" s="3"/>
      <c r="AA32" s="2" t="s">
        <v>408</v>
      </c>
    </row>
    <row r="33" customFormat="false" ht="87" hidden="false" customHeight="true" outlineLevel="0" collapsed="false">
      <c r="A33" s="2" t="n">
        <v>32</v>
      </c>
      <c r="B33" s="2" t="s">
        <v>409</v>
      </c>
      <c r="C33" s="2"/>
      <c r="D33" s="2"/>
      <c r="E33" s="2" t="s">
        <v>56</v>
      </c>
      <c r="F33" s="2" t="s">
        <v>29</v>
      </c>
      <c r="G33" s="2" t="s">
        <v>57</v>
      </c>
      <c r="H33" s="2" t="s">
        <v>30</v>
      </c>
      <c r="I33" s="2" t="s">
        <v>89</v>
      </c>
      <c r="J33" s="2" t="s">
        <v>410</v>
      </c>
      <c r="K33" s="2" t="s">
        <v>411</v>
      </c>
      <c r="L33" s="2" t="s">
        <v>412</v>
      </c>
      <c r="M33" s="2" t="s">
        <v>153</v>
      </c>
      <c r="N33" s="3" t="s">
        <v>413</v>
      </c>
      <c r="O33" s="3" t="s">
        <v>36</v>
      </c>
      <c r="P33" s="2"/>
      <c r="Q33" s="2" t="s">
        <v>414</v>
      </c>
      <c r="R33" s="3" t="s">
        <v>415</v>
      </c>
      <c r="S33" s="3" t="s">
        <v>416</v>
      </c>
      <c r="T33" s="3" t="s">
        <v>417</v>
      </c>
      <c r="U33" s="3" t="s">
        <v>418</v>
      </c>
      <c r="V33" s="3" t="s">
        <v>419</v>
      </c>
      <c r="W33" s="3" t="s">
        <v>420</v>
      </c>
      <c r="X33" s="2"/>
      <c r="Y33" s="2" t="s">
        <v>421</v>
      </c>
      <c r="Z33" s="3"/>
      <c r="AA33" s="2" t="s">
        <v>422</v>
      </c>
    </row>
    <row r="34" customFormat="false" ht="75" hidden="false" customHeight="true" outlineLevel="0" collapsed="false">
      <c r="A34" s="2" t="n">
        <v>33</v>
      </c>
      <c r="B34" s="2" t="s">
        <v>423</v>
      </c>
      <c r="C34" s="2"/>
      <c r="D34" s="2"/>
      <c r="E34" s="2" t="s">
        <v>28</v>
      </c>
      <c r="F34" s="2" t="s">
        <v>30</v>
      </c>
      <c r="G34" s="2" t="s">
        <v>30</v>
      </c>
      <c r="H34" s="2" t="s">
        <v>30</v>
      </c>
      <c r="I34" s="2" t="s">
        <v>424</v>
      </c>
      <c r="J34" s="2" t="s">
        <v>425</v>
      </c>
      <c r="K34" s="2" t="s">
        <v>426</v>
      </c>
      <c r="L34" s="2" t="s">
        <v>33</v>
      </c>
      <c r="M34" s="2" t="s">
        <v>34</v>
      </c>
      <c r="N34" s="3" t="s">
        <v>427</v>
      </c>
      <c r="O34" s="3" t="s">
        <v>36</v>
      </c>
      <c r="P34" s="2" t="s">
        <v>428</v>
      </c>
      <c r="Q34" s="2" t="s">
        <v>429</v>
      </c>
      <c r="R34" s="3" t="s">
        <v>430</v>
      </c>
      <c r="S34" s="3" t="s">
        <v>431</v>
      </c>
      <c r="T34" s="3" t="s">
        <v>432</v>
      </c>
      <c r="U34" s="3" t="s">
        <v>433</v>
      </c>
      <c r="V34" s="3" t="s">
        <v>434</v>
      </c>
      <c r="W34" s="3"/>
      <c r="X34" s="2"/>
      <c r="Y34" s="2" t="s">
        <v>435</v>
      </c>
      <c r="Z34" s="3" t="s">
        <v>436</v>
      </c>
      <c r="AA34" s="2" t="s">
        <v>437</v>
      </c>
    </row>
    <row r="35" customFormat="false" ht="49.5" hidden="false" customHeight="true" outlineLevel="0" collapsed="false">
      <c r="A35" s="2" t="n">
        <v>34</v>
      </c>
      <c r="B35" s="2" t="s">
        <v>438</v>
      </c>
      <c r="C35" s="2"/>
      <c r="D35" s="2"/>
      <c r="E35" s="2" t="s">
        <v>28</v>
      </c>
      <c r="F35" s="2" t="s">
        <v>57</v>
      </c>
      <c r="G35" s="2" t="s">
        <v>30</v>
      </c>
      <c r="H35" s="2" t="s">
        <v>30</v>
      </c>
      <c r="I35" s="2" t="s">
        <v>89</v>
      </c>
      <c r="J35" s="2" t="s">
        <v>439</v>
      </c>
      <c r="K35" s="2" t="s">
        <v>440</v>
      </c>
      <c r="L35" s="2" t="s">
        <v>33</v>
      </c>
      <c r="M35" s="2" t="s">
        <v>295</v>
      </c>
      <c r="N35" s="3" t="s">
        <v>441</v>
      </c>
      <c r="O35" s="3" t="s">
        <v>36</v>
      </c>
      <c r="P35" s="2"/>
      <c r="Q35" s="2" t="s">
        <v>29</v>
      </c>
      <c r="R35" s="3" t="s">
        <v>442</v>
      </c>
      <c r="S35" s="3" t="s">
        <v>443</v>
      </c>
      <c r="T35" s="3" t="s">
        <v>444</v>
      </c>
      <c r="U35" s="3" t="s">
        <v>445</v>
      </c>
      <c r="V35" s="3" t="s">
        <v>446</v>
      </c>
      <c r="W35" s="3" t="s">
        <v>447</v>
      </c>
      <c r="X35" s="2"/>
      <c r="Y35" s="2" t="s">
        <v>447</v>
      </c>
      <c r="Z35" s="3"/>
      <c r="AA35" s="2" t="s">
        <v>448</v>
      </c>
    </row>
    <row r="36" customFormat="false" ht="49.5" hidden="false" customHeight="true" outlineLevel="0" collapsed="false">
      <c r="A36" s="2" t="n">
        <v>35</v>
      </c>
      <c r="B36" s="2" t="s">
        <v>449</v>
      </c>
      <c r="C36" s="2"/>
      <c r="D36" s="2"/>
      <c r="E36" s="2" t="s">
        <v>28</v>
      </c>
      <c r="F36" s="2" t="s">
        <v>177</v>
      </c>
      <c r="G36" s="2" t="s">
        <v>57</v>
      </c>
      <c r="H36" s="2" t="s">
        <v>30</v>
      </c>
      <c r="I36" s="2" t="s">
        <v>410</v>
      </c>
      <c r="J36" s="2" t="s">
        <v>450</v>
      </c>
      <c r="K36" s="2" t="s">
        <v>451</v>
      </c>
      <c r="L36" s="2" t="s">
        <v>33</v>
      </c>
      <c r="M36" s="2" t="s">
        <v>295</v>
      </c>
      <c r="N36" s="3" t="s">
        <v>452</v>
      </c>
      <c r="O36" s="3" t="s">
        <v>36</v>
      </c>
      <c r="P36" s="2"/>
      <c r="Q36" s="2" t="s">
        <v>453</v>
      </c>
      <c r="R36" s="3" t="s">
        <v>454</v>
      </c>
      <c r="S36" s="3" t="s">
        <v>455</v>
      </c>
      <c r="T36" s="3" t="s">
        <v>456</v>
      </c>
      <c r="U36" s="3" t="s">
        <v>457</v>
      </c>
      <c r="V36" s="3" t="s">
        <v>458</v>
      </c>
      <c r="W36" s="3" t="s">
        <v>459</v>
      </c>
      <c r="X36" s="2"/>
      <c r="Y36" s="2" t="s">
        <v>460</v>
      </c>
      <c r="Z36" s="3"/>
      <c r="AA36" s="2" t="s">
        <v>461</v>
      </c>
    </row>
    <row r="37" customFormat="false" ht="62.25" hidden="false" customHeight="true" outlineLevel="0" collapsed="false">
      <c r="A37" s="2" t="n">
        <v>36</v>
      </c>
      <c r="B37" s="2" t="s">
        <v>462</v>
      </c>
      <c r="C37" s="2"/>
      <c r="D37" s="2"/>
      <c r="E37" s="2" t="s">
        <v>28</v>
      </c>
      <c r="F37" s="2" t="s">
        <v>29</v>
      </c>
      <c r="G37" s="2" t="s">
        <v>30</v>
      </c>
      <c r="H37" s="2" t="s">
        <v>30</v>
      </c>
      <c r="I37" s="2" t="s">
        <v>463</v>
      </c>
      <c r="J37" s="2" t="s">
        <v>463</v>
      </c>
      <c r="K37" s="2" t="s">
        <v>107</v>
      </c>
      <c r="L37" s="2" t="s">
        <v>33</v>
      </c>
      <c r="M37" s="2" t="s">
        <v>107</v>
      </c>
      <c r="N37" s="3" t="s">
        <v>464</v>
      </c>
      <c r="O37" s="3" t="s">
        <v>36</v>
      </c>
      <c r="P37" s="2"/>
      <c r="Q37" s="2" t="s">
        <v>29</v>
      </c>
      <c r="R37" s="3" t="s">
        <v>465</v>
      </c>
      <c r="S37" s="3" t="s">
        <v>466</v>
      </c>
      <c r="T37" s="3" t="s">
        <v>467</v>
      </c>
      <c r="U37" s="3" t="s">
        <v>468</v>
      </c>
      <c r="V37" s="3" t="s">
        <v>469</v>
      </c>
      <c r="W37" s="3" t="s">
        <v>470</v>
      </c>
      <c r="X37" s="2"/>
      <c r="Y37" s="2" t="s">
        <v>470</v>
      </c>
      <c r="Z37" s="3"/>
      <c r="AA37" s="2" t="s">
        <v>471</v>
      </c>
    </row>
    <row r="38" customFormat="false" ht="62.25" hidden="false" customHeight="true" outlineLevel="0" collapsed="false">
      <c r="A38" s="2" t="n">
        <v>37</v>
      </c>
      <c r="B38" s="2" t="s">
        <v>472</v>
      </c>
      <c r="C38" s="2"/>
      <c r="D38" s="2"/>
      <c r="E38" s="2" t="s">
        <v>56</v>
      </c>
      <c r="F38" s="2" t="s">
        <v>57</v>
      </c>
      <c r="G38" s="2" t="s">
        <v>30</v>
      </c>
      <c r="H38" s="2" t="s">
        <v>30</v>
      </c>
      <c r="I38" s="2" t="s">
        <v>231</v>
      </c>
      <c r="J38" s="2" t="s">
        <v>231</v>
      </c>
      <c r="K38" s="2" t="s">
        <v>206</v>
      </c>
      <c r="L38" s="2" t="s">
        <v>33</v>
      </c>
      <c r="M38" s="2" t="s">
        <v>34</v>
      </c>
      <c r="N38" s="3" t="s">
        <v>207</v>
      </c>
      <c r="O38" s="3" t="s">
        <v>36</v>
      </c>
      <c r="P38" s="2" t="s">
        <v>473</v>
      </c>
      <c r="Q38" s="2" t="s">
        <v>29</v>
      </c>
      <c r="R38" s="3" t="s">
        <v>474</v>
      </c>
      <c r="S38" s="3" t="s">
        <v>475</v>
      </c>
      <c r="T38" s="3" t="s">
        <v>476</v>
      </c>
      <c r="U38" s="3" t="s">
        <v>477</v>
      </c>
      <c r="V38" s="3" t="s">
        <v>478</v>
      </c>
      <c r="W38" s="3" t="s">
        <v>479</v>
      </c>
      <c r="X38" s="2"/>
      <c r="Y38" s="2" t="s">
        <v>479</v>
      </c>
      <c r="Z38" s="3"/>
      <c r="AA38" s="2" t="s">
        <v>480</v>
      </c>
    </row>
    <row r="39" customFormat="false" ht="62.25" hidden="false" customHeight="true" outlineLevel="0" collapsed="false">
      <c r="A39" s="2" t="n">
        <v>38</v>
      </c>
      <c r="B39" s="2" t="s">
        <v>481</v>
      </c>
      <c r="C39" s="2"/>
      <c r="D39" s="2"/>
      <c r="E39" s="2" t="s">
        <v>28</v>
      </c>
      <c r="F39" s="2" t="s">
        <v>29</v>
      </c>
      <c r="G39" s="2" t="s">
        <v>30</v>
      </c>
      <c r="H39" s="2" t="s">
        <v>30</v>
      </c>
      <c r="I39" s="2" t="s">
        <v>482</v>
      </c>
      <c r="J39" s="2" t="s">
        <v>482</v>
      </c>
      <c r="K39" s="2" t="s">
        <v>483</v>
      </c>
      <c r="L39" s="2" t="s">
        <v>33</v>
      </c>
      <c r="M39" s="2" t="s">
        <v>91</v>
      </c>
      <c r="N39" s="3" t="s">
        <v>484</v>
      </c>
      <c r="O39" s="3" t="s">
        <v>36</v>
      </c>
      <c r="P39" s="2"/>
      <c r="Q39" s="2" t="s">
        <v>29</v>
      </c>
      <c r="R39" s="3" t="s">
        <v>485</v>
      </c>
      <c r="S39" s="3" t="s">
        <v>486</v>
      </c>
      <c r="T39" s="3" t="s">
        <v>487</v>
      </c>
      <c r="U39" s="3" t="s">
        <v>488</v>
      </c>
      <c r="V39" s="3" t="s">
        <v>489</v>
      </c>
      <c r="W39" s="3" t="s">
        <v>490</v>
      </c>
      <c r="X39" s="2"/>
      <c r="Y39" s="2" t="s">
        <v>490</v>
      </c>
      <c r="Z39" s="3"/>
      <c r="AA39" s="2" t="s">
        <v>491</v>
      </c>
    </row>
    <row r="40" customFormat="false" ht="75" hidden="false" customHeight="true" outlineLevel="0" collapsed="false">
      <c r="A40" s="2" t="n">
        <v>39</v>
      </c>
      <c r="B40" s="2" t="s">
        <v>492</v>
      </c>
      <c r="C40" s="2"/>
      <c r="D40" s="2"/>
      <c r="E40" s="2" t="s">
        <v>28</v>
      </c>
      <c r="F40" s="2" t="s">
        <v>57</v>
      </c>
      <c r="G40" s="2" t="s">
        <v>30</v>
      </c>
      <c r="H40" s="2" t="s">
        <v>30</v>
      </c>
      <c r="I40" s="2" t="s">
        <v>493</v>
      </c>
      <c r="J40" s="2" t="s">
        <v>494</v>
      </c>
      <c r="K40" s="2" t="s">
        <v>59</v>
      </c>
      <c r="L40" s="2" t="s">
        <v>33</v>
      </c>
      <c r="M40" s="2" t="s">
        <v>60</v>
      </c>
      <c r="N40" s="3" t="s">
        <v>495</v>
      </c>
      <c r="O40" s="3" t="s">
        <v>36</v>
      </c>
      <c r="P40" s="2"/>
      <c r="Q40" s="2" t="s">
        <v>29</v>
      </c>
      <c r="R40" s="3" t="s">
        <v>496</v>
      </c>
      <c r="S40" s="3" t="s">
        <v>497</v>
      </c>
      <c r="T40" s="3" t="s">
        <v>498</v>
      </c>
      <c r="U40" s="3" t="s">
        <v>499</v>
      </c>
      <c r="V40" s="3" t="s">
        <v>500</v>
      </c>
      <c r="W40" s="3"/>
      <c r="X40" s="2"/>
      <c r="Y40" s="2" t="s">
        <v>501</v>
      </c>
      <c r="Z40" s="3" t="s">
        <v>500</v>
      </c>
      <c r="AA40" s="2" t="s">
        <v>502</v>
      </c>
    </row>
    <row r="41" customFormat="false" ht="229.5" hidden="false" customHeight="true" outlineLevel="0" collapsed="false">
      <c r="A41" s="2" t="n">
        <v>40</v>
      </c>
      <c r="B41" s="2" t="s">
        <v>503</v>
      </c>
      <c r="C41" s="2"/>
      <c r="D41" s="2"/>
      <c r="E41" s="2" t="s">
        <v>28</v>
      </c>
      <c r="F41" s="2" t="s">
        <v>177</v>
      </c>
      <c r="G41" s="2" t="s">
        <v>30</v>
      </c>
      <c r="H41" s="2" t="s">
        <v>30</v>
      </c>
      <c r="I41" s="2" t="s">
        <v>504</v>
      </c>
      <c r="J41" s="2" t="s">
        <v>504</v>
      </c>
      <c r="K41" s="2" t="s">
        <v>90</v>
      </c>
      <c r="L41" s="2" t="s">
        <v>33</v>
      </c>
      <c r="M41" s="2" t="s">
        <v>91</v>
      </c>
      <c r="N41" s="3" t="s">
        <v>505</v>
      </c>
      <c r="O41" s="3" t="s">
        <v>36</v>
      </c>
      <c r="P41" s="2" t="s">
        <v>506</v>
      </c>
      <c r="Q41" s="2" t="s">
        <v>507</v>
      </c>
      <c r="R41" s="3" t="s">
        <v>508</v>
      </c>
      <c r="S41" s="3" t="s">
        <v>509</v>
      </c>
      <c r="T41" s="3" t="s">
        <v>510</v>
      </c>
      <c r="U41" s="3" t="s">
        <v>511</v>
      </c>
      <c r="V41" s="3" t="s">
        <v>512</v>
      </c>
      <c r="W41" s="3"/>
      <c r="X41" s="2"/>
      <c r="Y41" s="2" t="s">
        <v>513</v>
      </c>
      <c r="Z41" s="3" t="s">
        <v>512</v>
      </c>
      <c r="AA41" s="2" t="s">
        <v>514</v>
      </c>
    </row>
    <row r="42" customFormat="false" ht="75" hidden="false" customHeight="true" outlineLevel="0" collapsed="false">
      <c r="A42" s="2" t="n">
        <v>41</v>
      </c>
      <c r="B42" s="2" t="s">
        <v>515</v>
      </c>
      <c r="C42" s="2"/>
      <c r="D42" s="2"/>
      <c r="E42" s="2" t="s">
        <v>28</v>
      </c>
      <c r="F42" s="2" t="s">
        <v>57</v>
      </c>
      <c r="G42" s="2" t="s">
        <v>30</v>
      </c>
      <c r="H42" s="2" t="s">
        <v>30</v>
      </c>
      <c r="I42" s="2" t="s">
        <v>516</v>
      </c>
      <c r="J42" s="2" t="s">
        <v>517</v>
      </c>
      <c r="K42" s="2" t="s">
        <v>217</v>
      </c>
      <c r="L42" s="2" t="s">
        <v>33</v>
      </c>
      <c r="M42" s="2" t="s">
        <v>107</v>
      </c>
      <c r="N42" s="3" t="s">
        <v>518</v>
      </c>
      <c r="O42" s="3" t="s">
        <v>36</v>
      </c>
      <c r="P42" s="2" t="s">
        <v>519</v>
      </c>
      <c r="Q42" s="2" t="s">
        <v>29</v>
      </c>
      <c r="R42" s="3" t="s">
        <v>520</v>
      </c>
      <c r="S42" s="3" t="s">
        <v>521</v>
      </c>
      <c r="T42" s="3" t="s">
        <v>522</v>
      </c>
      <c r="U42" s="3" t="s">
        <v>523</v>
      </c>
      <c r="V42" s="3" t="s">
        <v>524</v>
      </c>
      <c r="W42" s="3" t="s">
        <v>525</v>
      </c>
      <c r="X42" s="2"/>
      <c r="Y42" s="2" t="s">
        <v>526</v>
      </c>
      <c r="Z42" s="3" t="s">
        <v>524</v>
      </c>
      <c r="AA42" s="2" t="s">
        <v>527</v>
      </c>
    </row>
    <row r="43" customFormat="false" ht="229.5" hidden="false" customHeight="true" outlineLevel="0" collapsed="false">
      <c r="A43" s="2" t="n">
        <v>42</v>
      </c>
      <c r="B43" s="2" t="s">
        <v>528</v>
      </c>
      <c r="C43" s="2"/>
      <c r="D43" s="2"/>
      <c r="E43" s="2" t="s">
        <v>28</v>
      </c>
      <c r="F43" s="2" t="s">
        <v>177</v>
      </c>
      <c r="G43" s="2" t="s">
        <v>30</v>
      </c>
      <c r="H43" s="2" t="s">
        <v>30</v>
      </c>
      <c r="I43" s="2" t="s">
        <v>529</v>
      </c>
      <c r="J43" s="2" t="s">
        <v>529</v>
      </c>
      <c r="K43" s="2" t="s">
        <v>59</v>
      </c>
      <c r="L43" s="2" t="s">
        <v>33</v>
      </c>
      <c r="M43" s="2" t="s">
        <v>60</v>
      </c>
      <c r="N43" s="3" t="s">
        <v>530</v>
      </c>
      <c r="O43" s="3" t="s">
        <v>36</v>
      </c>
      <c r="P43" s="2" t="s">
        <v>531</v>
      </c>
      <c r="Q43" s="2" t="s">
        <v>507</v>
      </c>
      <c r="R43" s="3" t="s">
        <v>532</v>
      </c>
      <c r="S43" s="3" t="s">
        <v>533</v>
      </c>
      <c r="T43" s="3" t="s">
        <v>534</v>
      </c>
      <c r="U43" s="3" t="s">
        <v>535</v>
      </c>
      <c r="V43" s="3" t="s">
        <v>512</v>
      </c>
      <c r="W43" s="3"/>
      <c r="X43" s="2"/>
      <c r="Y43" s="2" t="s">
        <v>536</v>
      </c>
      <c r="Z43" s="3" t="s">
        <v>537</v>
      </c>
      <c r="AA43" s="2" t="s">
        <v>538</v>
      </c>
    </row>
    <row r="44" customFormat="false" ht="229.5" hidden="false" customHeight="true" outlineLevel="0" collapsed="false">
      <c r="A44" s="2" t="n">
        <v>43</v>
      </c>
      <c r="B44" s="2" t="s">
        <v>539</v>
      </c>
      <c r="C44" s="2"/>
      <c r="D44" s="2"/>
      <c r="E44" s="2" t="s">
        <v>28</v>
      </c>
      <c r="F44" s="2" t="s">
        <v>30</v>
      </c>
      <c r="G44" s="2" t="s">
        <v>30</v>
      </c>
      <c r="H44" s="2" t="s">
        <v>30</v>
      </c>
      <c r="I44" s="2" t="s">
        <v>540</v>
      </c>
      <c r="J44" s="2" t="s">
        <v>540</v>
      </c>
      <c r="K44" s="2" t="s">
        <v>206</v>
      </c>
      <c r="L44" s="2" t="s">
        <v>33</v>
      </c>
      <c r="M44" s="2" t="s">
        <v>34</v>
      </c>
      <c r="N44" s="3" t="s">
        <v>541</v>
      </c>
      <c r="O44" s="3" t="s">
        <v>36</v>
      </c>
      <c r="P44" s="2" t="s">
        <v>531</v>
      </c>
      <c r="Q44" s="2" t="s">
        <v>507</v>
      </c>
      <c r="R44" s="3" t="s">
        <v>542</v>
      </c>
      <c r="S44" s="3" t="s">
        <v>543</v>
      </c>
      <c r="T44" s="3" t="s">
        <v>544</v>
      </c>
      <c r="U44" s="3" t="s">
        <v>545</v>
      </c>
      <c r="V44" s="3" t="s">
        <v>512</v>
      </c>
      <c r="W44" s="3"/>
      <c r="X44" s="2"/>
      <c r="Y44" s="2" t="s">
        <v>546</v>
      </c>
      <c r="Z44" s="3" t="s">
        <v>547</v>
      </c>
      <c r="AA44" s="2" t="s">
        <v>548</v>
      </c>
    </row>
    <row r="45" customFormat="false" ht="62.25" hidden="false" customHeight="true" outlineLevel="0" collapsed="false">
      <c r="A45" s="2" t="n">
        <v>44</v>
      </c>
      <c r="B45" s="2" t="s">
        <v>549</v>
      </c>
      <c r="C45" s="2" t="s">
        <v>550</v>
      </c>
      <c r="D45" s="2" t="s">
        <v>551</v>
      </c>
      <c r="E45" s="2" t="s">
        <v>28</v>
      </c>
      <c r="F45" s="2" t="s">
        <v>57</v>
      </c>
      <c r="G45" s="2" t="s">
        <v>30</v>
      </c>
      <c r="H45" s="2" t="s">
        <v>30</v>
      </c>
      <c r="I45" s="2" t="s">
        <v>552</v>
      </c>
      <c r="J45" s="2" t="s">
        <v>553</v>
      </c>
      <c r="K45" s="2" t="s">
        <v>165</v>
      </c>
      <c r="L45" s="2" t="s">
        <v>166</v>
      </c>
      <c r="M45" s="2" t="s">
        <v>165</v>
      </c>
      <c r="N45" s="3" t="s">
        <v>554</v>
      </c>
      <c r="O45" s="3" t="s">
        <v>36</v>
      </c>
      <c r="P45" s="2"/>
      <c r="Q45" s="2" t="s">
        <v>29</v>
      </c>
      <c r="R45" s="3" t="s">
        <v>555</v>
      </c>
      <c r="S45" s="3" t="s">
        <v>556</v>
      </c>
      <c r="T45" s="3" t="s">
        <v>557</v>
      </c>
      <c r="U45" s="3" t="s">
        <v>558</v>
      </c>
      <c r="V45" s="3" t="s">
        <v>559</v>
      </c>
      <c r="W45" s="3"/>
      <c r="X45" s="2"/>
      <c r="Y45" s="2" t="s">
        <v>560</v>
      </c>
      <c r="Z45" s="3" t="s">
        <v>561</v>
      </c>
      <c r="AA45" s="2" t="s">
        <v>562</v>
      </c>
    </row>
    <row r="46" customFormat="false" ht="62.25" hidden="false" customHeight="true" outlineLevel="0" collapsed="false">
      <c r="A46" s="2" t="n">
        <v>45</v>
      </c>
      <c r="B46" s="2" t="s">
        <v>563</v>
      </c>
      <c r="C46" s="2"/>
      <c r="D46" s="2"/>
      <c r="E46" s="2" t="s">
        <v>28</v>
      </c>
      <c r="F46" s="2" t="s">
        <v>30</v>
      </c>
      <c r="G46" s="2" t="s">
        <v>30</v>
      </c>
      <c r="H46" s="2" t="s">
        <v>30</v>
      </c>
      <c r="I46" s="2" t="s">
        <v>564</v>
      </c>
      <c r="J46" s="2" t="s">
        <v>565</v>
      </c>
      <c r="K46" s="2" t="s">
        <v>566</v>
      </c>
      <c r="L46" s="2" t="s">
        <v>33</v>
      </c>
      <c r="M46" s="2" t="s">
        <v>34</v>
      </c>
      <c r="N46" s="3" t="s">
        <v>567</v>
      </c>
      <c r="O46" s="3" t="s">
        <v>36</v>
      </c>
      <c r="P46" s="2"/>
      <c r="Q46" s="2" t="s">
        <v>568</v>
      </c>
      <c r="R46" s="3" t="s">
        <v>569</v>
      </c>
      <c r="S46" s="3" t="s">
        <v>570</v>
      </c>
      <c r="T46" s="3" t="s">
        <v>571</v>
      </c>
      <c r="U46" s="3" t="s">
        <v>572</v>
      </c>
      <c r="V46" s="3" t="s">
        <v>573</v>
      </c>
      <c r="W46" s="3"/>
      <c r="X46" s="2"/>
      <c r="Y46" s="2" t="s">
        <v>574</v>
      </c>
      <c r="Z46" s="3" t="s">
        <v>575</v>
      </c>
      <c r="AA46" s="2" t="s">
        <v>576</v>
      </c>
    </row>
    <row r="47" customFormat="false" ht="62.25" hidden="false" customHeight="true" outlineLevel="0" collapsed="false">
      <c r="A47" s="2" t="n">
        <v>46</v>
      </c>
      <c r="B47" s="2" t="s">
        <v>577</v>
      </c>
      <c r="C47" s="2" t="s">
        <v>86</v>
      </c>
      <c r="D47" s="2"/>
      <c r="E47" s="2" t="s">
        <v>28</v>
      </c>
      <c r="F47" s="2" t="s">
        <v>30</v>
      </c>
      <c r="G47" s="2" t="s">
        <v>30</v>
      </c>
      <c r="H47" s="2" t="s">
        <v>30</v>
      </c>
      <c r="I47" s="2" t="s">
        <v>578</v>
      </c>
      <c r="J47" s="2" t="s">
        <v>529</v>
      </c>
      <c r="K47" s="2" t="s">
        <v>579</v>
      </c>
      <c r="L47" s="2" t="s">
        <v>33</v>
      </c>
      <c r="M47" s="2" t="s">
        <v>34</v>
      </c>
      <c r="N47" s="3" t="s">
        <v>580</v>
      </c>
      <c r="O47" s="3" t="s">
        <v>36</v>
      </c>
      <c r="P47" s="2"/>
      <c r="Q47" s="2" t="s">
        <v>581</v>
      </c>
      <c r="R47" s="3" t="s">
        <v>582</v>
      </c>
      <c r="S47" s="3" t="s">
        <v>583</v>
      </c>
      <c r="T47" s="3" t="s">
        <v>584</v>
      </c>
      <c r="U47" s="3" t="s">
        <v>585</v>
      </c>
      <c r="V47" s="3" t="s">
        <v>586</v>
      </c>
      <c r="W47" s="3"/>
      <c r="X47" s="2"/>
      <c r="Y47" s="2" t="s">
        <v>587</v>
      </c>
      <c r="Z47" s="3" t="s">
        <v>588</v>
      </c>
      <c r="AA47" s="2" t="s">
        <v>589</v>
      </c>
    </row>
    <row r="48" customFormat="false" ht="49.5" hidden="false" customHeight="true" outlineLevel="0" collapsed="false">
      <c r="A48" s="2" t="n">
        <v>47</v>
      </c>
      <c r="B48" s="2" t="s">
        <v>590</v>
      </c>
      <c r="C48" s="2"/>
      <c r="D48" s="2"/>
      <c r="E48" s="2" t="s">
        <v>28</v>
      </c>
      <c r="F48" s="2" t="s">
        <v>57</v>
      </c>
      <c r="G48" s="2" t="s">
        <v>30</v>
      </c>
      <c r="H48" s="2" t="s">
        <v>30</v>
      </c>
      <c r="I48" s="2" t="s">
        <v>591</v>
      </c>
      <c r="J48" s="2" t="s">
        <v>565</v>
      </c>
      <c r="K48" s="2" t="s">
        <v>592</v>
      </c>
      <c r="L48" s="2" t="s">
        <v>33</v>
      </c>
      <c r="M48" s="2" t="s">
        <v>295</v>
      </c>
      <c r="N48" s="3" t="s">
        <v>593</v>
      </c>
      <c r="O48" s="3" t="s">
        <v>36</v>
      </c>
      <c r="P48" s="2"/>
      <c r="Q48" s="2" t="s">
        <v>29</v>
      </c>
      <c r="R48" s="3" t="s">
        <v>594</v>
      </c>
      <c r="S48" s="3" t="s">
        <v>595</v>
      </c>
      <c r="T48" s="3" t="s">
        <v>596</v>
      </c>
      <c r="U48" s="3" t="s">
        <v>597</v>
      </c>
      <c r="V48" s="3" t="s">
        <v>598</v>
      </c>
      <c r="W48" s="3" t="s">
        <v>599</v>
      </c>
      <c r="X48" s="2"/>
      <c r="Y48" s="2" t="s">
        <v>599</v>
      </c>
      <c r="Z48" s="3"/>
      <c r="AA48" s="2" t="s">
        <v>600</v>
      </c>
    </row>
    <row r="49" customFormat="false" ht="37.5" hidden="false" customHeight="true" outlineLevel="0" collapsed="false">
      <c r="A49" s="2" t="n">
        <v>48</v>
      </c>
      <c r="B49" s="2" t="s">
        <v>601</v>
      </c>
      <c r="C49" s="2"/>
      <c r="D49" s="2"/>
      <c r="E49" s="2" t="s">
        <v>28</v>
      </c>
      <c r="F49" s="2" t="s">
        <v>57</v>
      </c>
      <c r="G49" s="2" t="s">
        <v>30</v>
      </c>
      <c r="H49" s="2" t="s">
        <v>30</v>
      </c>
      <c r="I49" s="2" t="s">
        <v>602</v>
      </c>
      <c r="J49" s="2" t="s">
        <v>540</v>
      </c>
      <c r="K49" s="2" t="s">
        <v>592</v>
      </c>
      <c r="L49" s="2" t="s">
        <v>33</v>
      </c>
      <c r="M49" s="2" t="s">
        <v>295</v>
      </c>
      <c r="N49" s="3" t="s">
        <v>603</v>
      </c>
      <c r="O49" s="3" t="s">
        <v>36</v>
      </c>
      <c r="P49" s="2"/>
      <c r="Q49" s="2" t="s">
        <v>29</v>
      </c>
      <c r="R49" s="3" t="s">
        <v>604</v>
      </c>
      <c r="S49" s="3" t="s">
        <v>605</v>
      </c>
      <c r="T49" s="3" t="s">
        <v>606</v>
      </c>
      <c r="U49" s="3" t="s">
        <v>607</v>
      </c>
      <c r="V49" s="3" t="s">
        <v>608</v>
      </c>
      <c r="W49" s="3"/>
      <c r="X49" s="2"/>
      <c r="Y49" s="2" t="s">
        <v>609</v>
      </c>
      <c r="Z49" s="3"/>
      <c r="AA49" s="2" t="s">
        <v>610</v>
      </c>
    </row>
    <row r="50" customFormat="false" ht="112.5" hidden="false" customHeight="true" outlineLevel="0" collapsed="false">
      <c r="A50" s="2" t="n">
        <v>49</v>
      </c>
      <c r="B50" s="2" t="s">
        <v>611</v>
      </c>
      <c r="C50" s="2" t="s">
        <v>86</v>
      </c>
      <c r="D50" s="2" t="s">
        <v>87</v>
      </c>
      <c r="E50" s="2" t="s">
        <v>28</v>
      </c>
      <c r="F50" s="2" t="s">
        <v>57</v>
      </c>
      <c r="G50" s="2" t="s">
        <v>30</v>
      </c>
      <c r="H50" s="2" t="s">
        <v>30</v>
      </c>
      <c r="I50" s="2" t="s">
        <v>493</v>
      </c>
      <c r="J50" s="2" t="s">
        <v>494</v>
      </c>
      <c r="K50" s="2" t="s">
        <v>612</v>
      </c>
      <c r="L50" s="2" t="s">
        <v>33</v>
      </c>
      <c r="M50" s="2" t="s">
        <v>295</v>
      </c>
      <c r="N50" s="3" t="s">
        <v>613</v>
      </c>
      <c r="O50" s="3" t="s">
        <v>36</v>
      </c>
      <c r="P50" s="2"/>
      <c r="Q50" s="2" t="s">
        <v>29</v>
      </c>
      <c r="R50" s="3" t="s">
        <v>614</v>
      </c>
      <c r="S50" s="3" t="s">
        <v>615</v>
      </c>
      <c r="T50" s="3" t="s">
        <v>616</v>
      </c>
      <c r="U50" s="3" t="s">
        <v>617</v>
      </c>
      <c r="V50" s="3" t="s">
        <v>618</v>
      </c>
      <c r="W50" s="3" t="s">
        <v>619</v>
      </c>
      <c r="X50" s="2"/>
      <c r="Y50" s="2" t="s">
        <v>620</v>
      </c>
      <c r="Z50" s="3" t="s">
        <v>621</v>
      </c>
      <c r="AA50" s="2" t="s">
        <v>622</v>
      </c>
    </row>
    <row r="51" customFormat="false" ht="49.5" hidden="false" customHeight="true" outlineLevel="0" collapsed="false">
      <c r="A51" s="2" t="n">
        <v>50</v>
      </c>
      <c r="B51" s="2" t="s">
        <v>623</v>
      </c>
      <c r="C51" s="2"/>
      <c r="D51" s="2"/>
      <c r="E51" s="2" t="s">
        <v>28</v>
      </c>
      <c r="F51" s="2" t="s">
        <v>29</v>
      </c>
      <c r="G51" s="2" t="s">
        <v>30</v>
      </c>
      <c r="H51" s="2" t="s">
        <v>30</v>
      </c>
      <c r="I51" s="2" t="s">
        <v>72</v>
      </c>
      <c r="J51" s="2" t="s">
        <v>624</v>
      </c>
      <c r="K51" s="2" t="s">
        <v>625</v>
      </c>
      <c r="L51" s="2" t="s">
        <v>625</v>
      </c>
      <c r="M51" s="2" t="s">
        <v>626</v>
      </c>
      <c r="N51" s="3" t="s">
        <v>627</v>
      </c>
      <c r="O51" s="3" t="s">
        <v>36</v>
      </c>
      <c r="P51" s="2"/>
      <c r="Q51" s="2" t="s">
        <v>29</v>
      </c>
      <c r="R51" s="3" t="s">
        <v>628</v>
      </c>
      <c r="S51" s="3" t="s">
        <v>629</v>
      </c>
      <c r="T51" s="3" t="s">
        <v>630</v>
      </c>
      <c r="U51" s="3" t="s">
        <v>631</v>
      </c>
      <c r="V51" s="3" t="s">
        <v>632</v>
      </c>
      <c r="W51" s="3" t="s">
        <v>633</v>
      </c>
      <c r="X51" s="2"/>
      <c r="Y51" s="2" t="s">
        <v>633</v>
      </c>
      <c r="Z51" s="3"/>
      <c r="AA51" s="2" t="s">
        <v>634</v>
      </c>
    </row>
    <row r="52" customFormat="false" ht="62.25" hidden="false" customHeight="true" outlineLevel="0" collapsed="false">
      <c r="A52" s="2" t="n">
        <v>51</v>
      </c>
      <c r="B52" s="2" t="s">
        <v>635</v>
      </c>
      <c r="C52" s="2"/>
      <c r="D52" s="2"/>
      <c r="E52" s="2" t="s">
        <v>28</v>
      </c>
      <c r="F52" s="2" t="s">
        <v>29</v>
      </c>
      <c r="G52" s="2" t="s">
        <v>30</v>
      </c>
      <c r="H52" s="2" t="s">
        <v>30</v>
      </c>
      <c r="I52" s="2" t="s">
        <v>624</v>
      </c>
      <c r="J52" s="2" t="s">
        <v>73</v>
      </c>
      <c r="K52" s="2" t="s">
        <v>625</v>
      </c>
      <c r="L52" s="2" t="s">
        <v>625</v>
      </c>
      <c r="M52" s="2" t="s">
        <v>626</v>
      </c>
      <c r="N52" s="3" t="s">
        <v>627</v>
      </c>
      <c r="O52" s="3" t="s">
        <v>36</v>
      </c>
      <c r="P52" s="2"/>
      <c r="Q52" s="2" t="s">
        <v>29</v>
      </c>
      <c r="R52" s="3" t="s">
        <v>636</v>
      </c>
      <c r="S52" s="3" t="s">
        <v>637</v>
      </c>
      <c r="T52" s="3" t="s">
        <v>638</v>
      </c>
      <c r="U52" s="3" t="s">
        <v>639</v>
      </c>
      <c r="V52" s="3" t="s">
        <v>640</v>
      </c>
      <c r="W52" s="3" t="s">
        <v>641</v>
      </c>
      <c r="X52" s="2"/>
      <c r="Y52" s="2" t="s">
        <v>641</v>
      </c>
      <c r="Z52" s="3"/>
      <c r="AA52" s="2" t="s">
        <v>642</v>
      </c>
    </row>
    <row r="53" customFormat="false" ht="49.5" hidden="false" customHeight="true" outlineLevel="0" collapsed="false">
      <c r="A53" s="2" t="n">
        <v>52</v>
      </c>
      <c r="B53" s="2" t="s">
        <v>643</v>
      </c>
      <c r="C53" s="2"/>
      <c r="D53" s="2"/>
      <c r="E53" s="2" t="s">
        <v>28</v>
      </c>
      <c r="F53" s="2" t="s">
        <v>29</v>
      </c>
      <c r="G53" s="2" t="s">
        <v>30</v>
      </c>
      <c r="H53" s="2" t="s">
        <v>30</v>
      </c>
      <c r="I53" s="2" t="s">
        <v>241</v>
      </c>
      <c r="J53" s="2" t="s">
        <v>242</v>
      </c>
      <c r="K53" s="2" t="s">
        <v>107</v>
      </c>
      <c r="L53" s="2" t="s">
        <v>33</v>
      </c>
      <c r="M53" s="2" t="s">
        <v>107</v>
      </c>
      <c r="N53" s="3" t="s">
        <v>644</v>
      </c>
      <c r="O53" s="3" t="s">
        <v>36</v>
      </c>
      <c r="P53" s="2"/>
      <c r="Q53" s="2" t="s">
        <v>29</v>
      </c>
      <c r="R53" s="3" t="s">
        <v>645</v>
      </c>
      <c r="S53" s="3" t="s">
        <v>646</v>
      </c>
      <c r="T53" s="3" t="s">
        <v>647</v>
      </c>
      <c r="U53" s="3" t="s">
        <v>648</v>
      </c>
      <c r="V53" s="3" t="s">
        <v>649</v>
      </c>
      <c r="W53" s="3" t="s">
        <v>650</v>
      </c>
      <c r="X53" s="2"/>
      <c r="Y53" s="2" t="s">
        <v>650</v>
      </c>
      <c r="Z53" s="3"/>
      <c r="AA53" s="2" t="s">
        <v>651</v>
      </c>
    </row>
    <row r="54" customFormat="false" ht="49.5" hidden="false" customHeight="true" outlineLevel="0" collapsed="false">
      <c r="A54" s="2" t="n">
        <v>53</v>
      </c>
      <c r="B54" s="2" t="s">
        <v>652</v>
      </c>
      <c r="C54" s="2"/>
      <c r="D54" s="2"/>
      <c r="E54" s="2" t="s">
        <v>28</v>
      </c>
      <c r="F54" s="2" t="s">
        <v>57</v>
      </c>
      <c r="G54" s="2" t="s">
        <v>30</v>
      </c>
      <c r="H54" s="2" t="s">
        <v>30</v>
      </c>
      <c r="I54" s="2" t="s">
        <v>529</v>
      </c>
      <c r="J54" s="2" t="s">
        <v>653</v>
      </c>
      <c r="K54" s="2" t="s">
        <v>654</v>
      </c>
      <c r="L54" s="2" t="s">
        <v>33</v>
      </c>
      <c r="M54" s="2" t="s">
        <v>295</v>
      </c>
      <c r="N54" s="3" t="s">
        <v>655</v>
      </c>
      <c r="O54" s="3" t="s">
        <v>36</v>
      </c>
      <c r="P54" s="2"/>
      <c r="Q54" s="2" t="s">
        <v>29</v>
      </c>
      <c r="R54" s="3" t="s">
        <v>656</v>
      </c>
      <c r="S54" s="3" t="s">
        <v>657</v>
      </c>
      <c r="T54" s="3" t="s">
        <v>658</v>
      </c>
      <c r="U54" s="3" t="s">
        <v>659</v>
      </c>
      <c r="V54" s="3" t="s">
        <v>660</v>
      </c>
      <c r="W54" s="3"/>
      <c r="X54" s="2"/>
      <c r="Y54" s="2" t="s">
        <v>661</v>
      </c>
      <c r="Z54" s="3"/>
      <c r="AA54" s="2" t="s">
        <v>662</v>
      </c>
    </row>
    <row r="55" customFormat="false" ht="99.75" hidden="false" customHeight="true" outlineLevel="0" collapsed="false">
      <c r="A55" s="2" t="n">
        <v>54</v>
      </c>
      <c r="B55" s="2" t="s">
        <v>663</v>
      </c>
      <c r="C55" s="2"/>
      <c r="D55" s="2"/>
      <c r="E55" s="2" t="s">
        <v>28</v>
      </c>
      <c r="F55" s="2" t="s">
        <v>29</v>
      </c>
      <c r="G55" s="2" t="s">
        <v>30</v>
      </c>
      <c r="H55" s="2" t="s">
        <v>30</v>
      </c>
      <c r="I55" s="2" t="s">
        <v>564</v>
      </c>
      <c r="J55" s="2" t="s">
        <v>565</v>
      </c>
      <c r="K55" s="2" t="s">
        <v>59</v>
      </c>
      <c r="L55" s="2" t="s">
        <v>33</v>
      </c>
      <c r="M55" s="2" t="s">
        <v>60</v>
      </c>
      <c r="N55" s="3" t="s">
        <v>664</v>
      </c>
      <c r="O55" s="3" t="s">
        <v>36</v>
      </c>
      <c r="P55" s="2"/>
      <c r="Q55" s="2" t="s">
        <v>429</v>
      </c>
      <c r="R55" s="3" t="s">
        <v>665</v>
      </c>
      <c r="S55" s="3" t="s">
        <v>666</v>
      </c>
      <c r="T55" s="3" t="s">
        <v>667</v>
      </c>
      <c r="U55" s="3" t="s">
        <v>668</v>
      </c>
      <c r="V55" s="3" t="s">
        <v>669</v>
      </c>
      <c r="W55" s="3"/>
      <c r="X55" s="2"/>
      <c r="Y55" s="2" t="s">
        <v>670</v>
      </c>
      <c r="Z55" s="3" t="s">
        <v>671</v>
      </c>
      <c r="AA55" s="2" t="s">
        <v>672</v>
      </c>
    </row>
    <row r="56" customFormat="false" ht="49.5" hidden="false" customHeight="true" outlineLevel="0" collapsed="false">
      <c r="A56" s="2" t="n">
        <v>55</v>
      </c>
      <c r="B56" s="2" t="s">
        <v>673</v>
      </c>
      <c r="C56" s="2"/>
      <c r="D56" s="2"/>
      <c r="E56" s="2" t="s">
        <v>28</v>
      </c>
      <c r="F56" s="2" t="s">
        <v>30</v>
      </c>
      <c r="G56" s="2" t="s">
        <v>30</v>
      </c>
      <c r="H56" s="2" t="s">
        <v>30</v>
      </c>
      <c r="I56" s="2" t="s">
        <v>105</v>
      </c>
      <c r="J56" s="2" t="s">
        <v>150</v>
      </c>
      <c r="K56" s="2" t="s">
        <v>674</v>
      </c>
      <c r="L56" s="2" t="s">
        <v>33</v>
      </c>
      <c r="M56" s="2" t="s">
        <v>295</v>
      </c>
      <c r="N56" s="3" t="s">
        <v>675</v>
      </c>
      <c r="O56" s="3" t="s">
        <v>36</v>
      </c>
      <c r="P56" s="2"/>
      <c r="Q56" s="2" t="s">
        <v>676</v>
      </c>
      <c r="R56" s="3" t="s">
        <v>677</v>
      </c>
      <c r="S56" s="3" t="s">
        <v>678</v>
      </c>
      <c r="T56" s="3" t="s">
        <v>679</v>
      </c>
      <c r="U56" s="3" t="s">
        <v>680</v>
      </c>
      <c r="V56" s="3" t="s">
        <v>681</v>
      </c>
      <c r="W56" s="3" t="s">
        <v>682</v>
      </c>
      <c r="X56" s="2"/>
      <c r="Y56" s="2" t="s">
        <v>683</v>
      </c>
      <c r="Z56" s="3"/>
      <c r="AA56" s="2" t="s">
        <v>684</v>
      </c>
    </row>
    <row r="57" customFormat="false" ht="62.25" hidden="false" customHeight="true" outlineLevel="0" collapsed="false">
      <c r="A57" s="2" t="n">
        <v>56</v>
      </c>
      <c r="B57" s="2" t="s">
        <v>685</v>
      </c>
      <c r="C57" s="2"/>
      <c r="D57" s="2"/>
      <c r="E57" s="2" t="s">
        <v>28</v>
      </c>
      <c r="F57" s="2" t="s">
        <v>29</v>
      </c>
      <c r="G57" s="2" t="s">
        <v>30</v>
      </c>
      <c r="H57" s="2" t="s">
        <v>30</v>
      </c>
      <c r="I57" s="2" t="s">
        <v>163</v>
      </c>
      <c r="J57" s="2" t="s">
        <v>164</v>
      </c>
      <c r="K57" s="2" t="s">
        <v>440</v>
      </c>
      <c r="L57" s="2" t="s">
        <v>33</v>
      </c>
      <c r="M57" s="2" t="s">
        <v>295</v>
      </c>
      <c r="N57" s="3" t="s">
        <v>686</v>
      </c>
      <c r="O57" s="3" t="s">
        <v>36</v>
      </c>
      <c r="P57" s="2"/>
      <c r="Q57" s="2" t="s">
        <v>29</v>
      </c>
      <c r="R57" s="3" t="s">
        <v>687</v>
      </c>
      <c r="S57" s="3" t="s">
        <v>688</v>
      </c>
      <c r="T57" s="3" t="s">
        <v>689</v>
      </c>
      <c r="U57" s="3" t="s">
        <v>690</v>
      </c>
      <c r="V57" s="3" t="s">
        <v>691</v>
      </c>
      <c r="W57" s="3" t="s">
        <v>692</v>
      </c>
      <c r="X57" s="2"/>
      <c r="Y57" s="2" t="s">
        <v>692</v>
      </c>
      <c r="Z57" s="3"/>
      <c r="AA57" s="2" t="s">
        <v>693</v>
      </c>
    </row>
    <row r="58" customFormat="false" ht="62.25" hidden="false" customHeight="true" outlineLevel="0" collapsed="false">
      <c r="A58" s="2" t="n">
        <v>57</v>
      </c>
      <c r="B58" s="2" t="s">
        <v>694</v>
      </c>
      <c r="C58" s="2"/>
      <c r="D58" s="2"/>
      <c r="E58" s="2" t="s">
        <v>28</v>
      </c>
      <c r="F58" s="2" t="s">
        <v>29</v>
      </c>
      <c r="G58" s="2" t="s">
        <v>30</v>
      </c>
      <c r="H58" s="2" t="s">
        <v>30</v>
      </c>
      <c r="I58" s="2" t="s">
        <v>216</v>
      </c>
      <c r="J58" s="2" t="s">
        <v>216</v>
      </c>
      <c r="K58" s="2" t="s">
        <v>695</v>
      </c>
      <c r="L58" s="2" t="s">
        <v>696</v>
      </c>
      <c r="M58" s="2" t="s">
        <v>153</v>
      </c>
      <c r="N58" s="3" t="s">
        <v>697</v>
      </c>
      <c r="O58" s="3" t="s">
        <v>36</v>
      </c>
      <c r="P58" s="2"/>
      <c r="Q58" s="2" t="s">
        <v>29</v>
      </c>
      <c r="R58" s="3" t="s">
        <v>698</v>
      </c>
      <c r="S58" s="3" t="s">
        <v>699</v>
      </c>
      <c r="T58" s="3" t="s">
        <v>700</v>
      </c>
      <c r="U58" s="3" t="s">
        <v>701</v>
      </c>
      <c r="V58" s="3" t="s">
        <v>702</v>
      </c>
      <c r="W58" s="3" t="s">
        <v>703</v>
      </c>
      <c r="X58" s="2"/>
      <c r="Y58" s="2" t="s">
        <v>703</v>
      </c>
      <c r="Z58" s="3"/>
      <c r="AA58" s="2" t="s">
        <v>704</v>
      </c>
    </row>
    <row r="59" customFormat="false" ht="49.5" hidden="false" customHeight="true" outlineLevel="0" collapsed="false">
      <c r="A59" s="2" t="n">
        <v>58</v>
      </c>
      <c r="B59" s="2" t="s">
        <v>705</v>
      </c>
      <c r="C59" s="2"/>
      <c r="D59" s="2"/>
      <c r="E59" s="2" t="s">
        <v>28</v>
      </c>
      <c r="F59" s="2" t="s">
        <v>29</v>
      </c>
      <c r="G59" s="2" t="s">
        <v>30</v>
      </c>
      <c r="H59" s="2" t="s">
        <v>30</v>
      </c>
      <c r="I59" s="2" t="s">
        <v>89</v>
      </c>
      <c r="J59" s="2" t="s">
        <v>410</v>
      </c>
      <c r="K59" s="2" t="s">
        <v>107</v>
      </c>
      <c r="L59" s="2" t="s">
        <v>33</v>
      </c>
      <c r="M59" s="2" t="s">
        <v>107</v>
      </c>
      <c r="N59" s="3" t="s">
        <v>706</v>
      </c>
      <c r="O59" s="3" t="s">
        <v>36</v>
      </c>
      <c r="P59" s="2"/>
      <c r="Q59" s="2" t="s">
        <v>29</v>
      </c>
      <c r="R59" s="3" t="s">
        <v>707</v>
      </c>
      <c r="S59" s="3" t="s">
        <v>708</v>
      </c>
      <c r="T59" s="3" t="s">
        <v>709</v>
      </c>
      <c r="U59" s="3" t="s">
        <v>710</v>
      </c>
      <c r="V59" s="3" t="s">
        <v>711</v>
      </c>
      <c r="W59" s="3" t="s">
        <v>712</v>
      </c>
      <c r="X59" s="2"/>
      <c r="Y59" s="2" t="s">
        <v>713</v>
      </c>
      <c r="Z59" s="3"/>
      <c r="AA59" s="2" t="s">
        <v>714</v>
      </c>
    </row>
    <row r="60" customFormat="false" ht="49.5" hidden="false" customHeight="true" outlineLevel="0" collapsed="false">
      <c r="A60" s="2" t="n">
        <v>59</v>
      </c>
      <c r="B60" s="2" t="s">
        <v>715</v>
      </c>
      <c r="C60" s="2"/>
      <c r="D60" s="2"/>
      <c r="E60" s="2" t="s">
        <v>28</v>
      </c>
      <c r="F60" s="2" t="s">
        <v>29</v>
      </c>
      <c r="G60" s="2" t="s">
        <v>30</v>
      </c>
      <c r="H60" s="2" t="s">
        <v>30</v>
      </c>
      <c r="I60" s="2" t="s">
        <v>410</v>
      </c>
      <c r="J60" s="2" t="s">
        <v>450</v>
      </c>
      <c r="K60" s="2" t="s">
        <v>592</v>
      </c>
      <c r="L60" s="2" t="s">
        <v>33</v>
      </c>
      <c r="M60" s="2" t="s">
        <v>295</v>
      </c>
      <c r="N60" s="3" t="s">
        <v>716</v>
      </c>
      <c r="O60" s="3" t="s">
        <v>36</v>
      </c>
      <c r="P60" s="2"/>
      <c r="Q60" s="2" t="s">
        <v>29</v>
      </c>
      <c r="R60" s="3" t="s">
        <v>717</v>
      </c>
      <c r="S60" s="3" t="s">
        <v>718</v>
      </c>
      <c r="T60" s="3" t="s">
        <v>719</v>
      </c>
      <c r="U60" s="3" t="s">
        <v>720</v>
      </c>
      <c r="V60" s="3" t="s">
        <v>721</v>
      </c>
      <c r="W60" s="3" t="s">
        <v>722</v>
      </c>
      <c r="X60" s="2"/>
      <c r="Y60" s="2" t="s">
        <v>723</v>
      </c>
      <c r="Z60" s="3"/>
      <c r="AA60" s="2" t="s">
        <v>724</v>
      </c>
    </row>
    <row r="61" customFormat="false" ht="75" hidden="false" customHeight="true" outlineLevel="0" collapsed="false">
      <c r="A61" s="2" t="n">
        <v>60</v>
      </c>
      <c r="B61" s="2" t="s">
        <v>725</v>
      </c>
      <c r="C61" s="2" t="s">
        <v>86</v>
      </c>
      <c r="D61" s="2" t="s">
        <v>87</v>
      </c>
      <c r="E61" s="2" t="s">
        <v>28</v>
      </c>
      <c r="F61" s="2" t="s">
        <v>57</v>
      </c>
      <c r="G61" s="2" t="s">
        <v>30</v>
      </c>
      <c r="H61" s="2" t="s">
        <v>30</v>
      </c>
      <c r="I61" s="2" t="s">
        <v>216</v>
      </c>
      <c r="J61" s="2" t="s">
        <v>463</v>
      </c>
      <c r="K61" s="2" t="s">
        <v>726</v>
      </c>
      <c r="L61" s="2" t="s">
        <v>727</v>
      </c>
      <c r="M61" s="2" t="s">
        <v>153</v>
      </c>
      <c r="N61" s="3" t="s">
        <v>728</v>
      </c>
      <c r="O61" s="3" t="s">
        <v>36</v>
      </c>
      <c r="P61" s="2"/>
      <c r="Q61" s="2" t="s">
        <v>29</v>
      </c>
      <c r="R61" s="3" t="s">
        <v>729</v>
      </c>
      <c r="S61" s="3" t="s">
        <v>730</v>
      </c>
      <c r="T61" s="3" t="s">
        <v>731</v>
      </c>
      <c r="U61" s="3" t="s">
        <v>732</v>
      </c>
      <c r="V61" s="3" t="s">
        <v>618</v>
      </c>
      <c r="W61" s="3"/>
      <c r="X61" s="2"/>
      <c r="Y61" s="2" t="s">
        <v>733</v>
      </c>
      <c r="Z61" s="3" t="s">
        <v>734</v>
      </c>
      <c r="AA61" s="2" t="s">
        <v>735</v>
      </c>
    </row>
    <row r="62" customFormat="false" ht="62.25" hidden="false" customHeight="true" outlineLevel="0" collapsed="false">
      <c r="A62" s="2" t="n">
        <v>61</v>
      </c>
      <c r="B62" s="2" t="s">
        <v>736</v>
      </c>
      <c r="C62" s="2"/>
      <c r="D62" s="2"/>
      <c r="E62" s="2" t="s">
        <v>56</v>
      </c>
      <c r="F62" s="2" t="s">
        <v>29</v>
      </c>
      <c r="G62" s="2" t="s">
        <v>30</v>
      </c>
      <c r="H62" s="2" t="s">
        <v>30</v>
      </c>
      <c r="I62" s="2" t="s">
        <v>737</v>
      </c>
      <c r="J62" s="2" t="s">
        <v>738</v>
      </c>
      <c r="K62" s="2" t="s">
        <v>739</v>
      </c>
      <c r="L62" s="2" t="s">
        <v>33</v>
      </c>
      <c r="M62" s="2" t="s">
        <v>295</v>
      </c>
      <c r="N62" s="3" t="s">
        <v>740</v>
      </c>
      <c r="O62" s="3" t="s">
        <v>36</v>
      </c>
      <c r="P62" s="2"/>
      <c r="Q62" s="2" t="s">
        <v>29</v>
      </c>
      <c r="R62" s="3" t="s">
        <v>741</v>
      </c>
      <c r="S62" s="3" t="s">
        <v>742</v>
      </c>
      <c r="T62" s="3" t="s">
        <v>743</v>
      </c>
      <c r="U62" s="3" t="s">
        <v>744</v>
      </c>
      <c r="V62" s="3" t="s">
        <v>745</v>
      </c>
      <c r="W62" s="3" t="s">
        <v>746</v>
      </c>
      <c r="X62" s="2"/>
      <c r="Y62" s="2" t="s">
        <v>747</v>
      </c>
      <c r="Z62" s="3"/>
      <c r="AA62" s="2" t="s">
        <v>748</v>
      </c>
    </row>
    <row r="63" customFormat="false" ht="87" hidden="false" customHeight="true" outlineLevel="0" collapsed="false">
      <c r="A63" s="2" t="n">
        <v>62</v>
      </c>
      <c r="B63" s="2" t="s">
        <v>749</v>
      </c>
      <c r="C63" s="2"/>
      <c r="D63" s="2"/>
      <c r="E63" s="2" t="s">
        <v>28</v>
      </c>
      <c r="F63" s="2" t="s">
        <v>30</v>
      </c>
      <c r="G63" s="2" t="s">
        <v>30</v>
      </c>
      <c r="H63" s="2" t="s">
        <v>30</v>
      </c>
      <c r="I63" s="2" t="s">
        <v>750</v>
      </c>
      <c r="J63" s="2" t="s">
        <v>751</v>
      </c>
      <c r="K63" s="2" t="s">
        <v>74</v>
      </c>
      <c r="L63" s="2" t="s">
        <v>33</v>
      </c>
      <c r="M63" s="2" t="s">
        <v>74</v>
      </c>
      <c r="N63" s="3" t="s">
        <v>752</v>
      </c>
      <c r="O63" s="3" t="s">
        <v>36</v>
      </c>
      <c r="P63" s="2" t="s">
        <v>753</v>
      </c>
      <c r="Q63" s="2" t="s">
        <v>754</v>
      </c>
      <c r="R63" s="3" t="s">
        <v>755</v>
      </c>
      <c r="S63" s="3" t="s">
        <v>756</v>
      </c>
      <c r="T63" s="3" t="s">
        <v>757</v>
      </c>
      <c r="U63" s="3" t="s">
        <v>758</v>
      </c>
      <c r="V63" s="3" t="s">
        <v>759</v>
      </c>
      <c r="W63" s="3" t="s">
        <v>760</v>
      </c>
      <c r="X63" s="2"/>
      <c r="Y63" s="2" t="s">
        <v>760</v>
      </c>
      <c r="Z63" s="3"/>
      <c r="AA63" s="2" t="s">
        <v>761</v>
      </c>
    </row>
    <row r="64" customFormat="false" ht="62.25" hidden="false" customHeight="true" outlineLevel="0" collapsed="false">
      <c r="A64" s="2" t="n">
        <v>63</v>
      </c>
      <c r="B64" s="2" t="s">
        <v>762</v>
      </c>
      <c r="C64" s="2"/>
      <c r="D64" s="2"/>
      <c r="E64" s="2" t="s">
        <v>56</v>
      </c>
      <c r="F64" s="2" t="s">
        <v>30</v>
      </c>
      <c r="G64" s="2" t="s">
        <v>30</v>
      </c>
      <c r="H64" s="2" t="s">
        <v>30</v>
      </c>
      <c r="I64" s="2" t="s">
        <v>763</v>
      </c>
      <c r="J64" s="2" t="s">
        <v>31</v>
      </c>
      <c r="K64" s="2" t="s">
        <v>764</v>
      </c>
      <c r="L64" s="2" t="s">
        <v>33</v>
      </c>
      <c r="M64" s="2" t="s">
        <v>295</v>
      </c>
      <c r="N64" s="3" t="s">
        <v>765</v>
      </c>
      <c r="O64" s="3" t="s">
        <v>36</v>
      </c>
      <c r="P64" s="2" t="s">
        <v>766</v>
      </c>
      <c r="Q64" s="2" t="s">
        <v>767</v>
      </c>
      <c r="R64" s="3" t="s">
        <v>768</v>
      </c>
      <c r="S64" s="3" t="s">
        <v>769</v>
      </c>
      <c r="T64" s="3" t="s">
        <v>770</v>
      </c>
      <c r="U64" s="3" t="s">
        <v>771</v>
      </c>
      <c r="V64" s="3" t="s">
        <v>772</v>
      </c>
      <c r="W64" s="3" t="s">
        <v>773</v>
      </c>
      <c r="X64" s="2"/>
      <c r="Y64" s="2" t="s">
        <v>774</v>
      </c>
      <c r="Z64" s="3"/>
      <c r="AA64" s="2" t="s">
        <v>775</v>
      </c>
    </row>
    <row r="65" customFormat="false" ht="99.75" hidden="false" customHeight="true" outlineLevel="0" collapsed="false">
      <c r="A65" s="2" t="n">
        <v>64</v>
      </c>
      <c r="B65" s="2" t="s">
        <v>776</v>
      </c>
      <c r="C65" s="2"/>
      <c r="D65" s="2"/>
      <c r="E65" s="2" t="s">
        <v>28</v>
      </c>
      <c r="F65" s="2" t="s">
        <v>177</v>
      </c>
      <c r="G65" s="2" t="s">
        <v>30</v>
      </c>
      <c r="H65" s="2" t="s">
        <v>57</v>
      </c>
      <c r="I65" s="2" t="s">
        <v>777</v>
      </c>
      <c r="J65" s="2" t="s">
        <v>778</v>
      </c>
      <c r="K65" s="2" t="s">
        <v>779</v>
      </c>
      <c r="L65" s="2" t="s">
        <v>780</v>
      </c>
      <c r="M65" s="2" t="s">
        <v>194</v>
      </c>
      <c r="N65" s="3" t="s">
        <v>781</v>
      </c>
      <c r="O65" s="3" t="s">
        <v>357</v>
      </c>
      <c r="P65" s="2" t="s">
        <v>782</v>
      </c>
      <c r="Q65" s="2" t="s">
        <v>29</v>
      </c>
      <c r="R65" s="3" t="s">
        <v>783</v>
      </c>
      <c r="S65" s="3" t="s">
        <v>784</v>
      </c>
      <c r="T65" s="3" t="s">
        <v>785</v>
      </c>
      <c r="U65" s="3" t="s">
        <v>786</v>
      </c>
      <c r="V65" s="3" t="s">
        <v>787</v>
      </c>
      <c r="W65" s="3"/>
      <c r="X65" s="2"/>
      <c r="Y65" s="2" t="s">
        <v>788</v>
      </c>
      <c r="Z65" s="3" t="s">
        <v>789</v>
      </c>
      <c r="AA65" s="2" t="s">
        <v>790</v>
      </c>
    </row>
    <row r="66" customFormat="false" ht="49.5" hidden="false" customHeight="true" outlineLevel="0" collapsed="false">
      <c r="A66" s="2" t="n">
        <v>65</v>
      </c>
      <c r="B66" s="2" t="s">
        <v>791</v>
      </c>
      <c r="C66" s="2"/>
      <c r="D66" s="2"/>
      <c r="E66" s="2" t="s">
        <v>28</v>
      </c>
      <c r="F66" s="2" t="s">
        <v>29</v>
      </c>
      <c r="G66" s="2" t="s">
        <v>30</v>
      </c>
      <c r="H66" s="2" t="s">
        <v>30</v>
      </c>
      <c r="I66" s="2" t="s">
        <v>46</v>
      </c>
      <c r="J66" s="2" t="s">
        <v>46</v>
      </c>
      <c r="K66" s="2" t="s">
        <v>32</v>
      </c>
      <c r="L66" s="2" t="s">
        <v>33</v>
      </c>
      <c r="M66" s="2" t="s">
        <v>34</v>
      </c>
      <c r="N66" s="3" t="s">
        <v>792</v>
      </c>
      <c r="O66" s="3" t="s">
        <v>36</v>
      </c>
      <c r="P66" s="2" t="s">
        <v>793</v>
      </c>
      <c r="Q66" s="2" t="s">
        <v>29</v>
      </c>
      <c r="R66" s="3" t="s">
        <v>794</v>
      </c>
      <c r="S66" s="3" t="s">
        <v>795</v>
      </c>
      <c r="T66" s="3" t="s">
        <v>796</v>
      </c>
      <c r="U66" s="3" t="s">
        <v>797</v>
      </c>
      <c r="V66" s="3" t="s">
        <v>798</v>
      </c>
      <c r="W66" s="3" t="s">
        <v>799</v>
      </c>
      <c r="X66" s="2"/>
      <c r="Y66" s="2" t="s">
        <v>800</v>
      </c>
      <c r="Z66" s="3"/>
      <c r="AA66" s="2" t="s">
        <v>801</v>
      </c>
    </row>
    <row r="67" customFormat="false" ht="75" hidden="false" customHeight="true" outlineLevel="0" collapsed="false">
      <c r="A67" s="2" t="n">
        <v>66</v>
      </c>
      <c r="B67" s="2" t="s">
        <v>802</v>
      </c>
      <c r="C67" s="2"/>
      <c r="D67" s="2"/>
      <c r="E67" s="2" t="s">
        <v>28</v>
      </c>
      <c r="F67" s="2" t="s">
        <v>29</v>
      </c>
      <c r="G67" s="2" t="s">
        <v>30</v>
      </c>
      <c r="H67" s="2" t="s">
        <v>30</v>
      </c>
      <c r="I67" s="2" t="s">
        <v>58</v>
      </c>
      <c r="J67" s="2" t="s">
        <v>58</v>
      </c>
      <c r="K67" s="2" t="s">
        <v>90</v>
      </c>
      <c r="L67" s="2" t="s">
        <v>33</v>
      </c>
      <c r="M67" s="2" t="s">
        <v>91</v>
      </c>
      <c r="N67" s="3" t="s">
        <v>803</v>
      </c>
      <c r="O67" s="3" t="s">
        <v>36</v>
      </c>
      <c r="P67" s="2"/>
      <c r="Q67" s="2" t="s">
        <v>29</v>
      </c>
      <c r="R67" s="3" t="s">
        <v>804</v>
      </c>
      <c r="S67" s="3" t="s">
        <v>805</v>
      </c>
      <c r="T67" s="3" t="s">
        <v>806</v>
      </c>
      <c r="U67" s="3" t="s">
        <v>807</v>
      </c>
      <c r="V67" s="3" t="s">
        <v>808</v>
      </c>
      <c r="W67" s="3" t="s">
        <v>490</v>
      </c>
      <c r="X67" s="2"/>
      <c r="Y67" s="2" t="s">
        <v>809</v>
      </c>
      <c r="Z67" s="3"/>
      <c r="AA67" s="2" t="s">
        <v>810</v>
      </c>
    </row>
    <row r="68" customFormat="false" ht="62.25" hidden="false" customHeight="true" outlineLevel="0" collapsed="false">
      <c r="A68" s="2" t="n">
        <v>67</v>
      </c>
      <c r="B68" s="2" t="s">
        <v>811</v>
      </c>
      <c r="C68" s="2"/>
      <c r="D68" s="2"/>
      <c r="E68" s="2" t="s">
        <v>56</v>
      </c>
      <c r="F68" s="2" t="s">
        <v>29</v>
      </c>
      <c r="G68" s="2" t="s">
        <v>30</v>
      </c>
      <c r="H68" s="2" t="s">
        <v>30</v>
      </c>
      <c r="I68" s="2" t="s">
        <v>58</v>
      </c>
      <c r="J68" s="2" t="s">
        <v>812</v>
      </c>
      <c r="K68" s="2" t="s">
        <v>695</v>
      </c>
      <c r="L68" s="2" t="s">
        <v>696</v>
      </c>
      <c r="M68" s="2" t="s">
        <v>153</v>
      </c>
      <c r="N68" s="3" t="s">
        <v>697</v>
      </c>
      <c r="O68" s="3" t="s">
        <v>36</v>
      </c>
      <c r="P68" s="2"/>
      <c r="Q68" s="2" t="s">
        <v>29</v>
      </c>
      <c r="R68" s="3" t="s">
        <v>813</v>
      </c>
      <c r="S68" s="3" t="s">
        <v>814</v>
      </c>
      <c r="T68" s="3" t="s">
        <v>815</v>
      </c>
      <c r="U68" s="3" t="s">
        <v>816</v>
      </c>
      <c r="V68" s="3" t="s">
        <v>817</v>
      </c>
      <c r="W68" s="3" t="s">
        <v>818</v>
      </c>
      <c r="X68" s="2"/>
      <c r="Y68" s="2" t="s">
        <v>819</v>
      </c>
      <c r="Z68" s="3"/>
      <c r="AA68" s="2" t="s">
        <v>820</v>
      </c>
    </row>
    <row r="69" customFormat="false" ht="62.25" hidden="false" customHeight="true" outlineLevel="0" collapsed="false">
      <c r="A69" s="2" t="n">
        <v>68</v>
      </c>
      <c r="B69" s="2" t="s">
        <v>821</v>
      </c>
      <c r="C69" s="2"/>
      <c r="D69" s="2"/>
      <c r="E69" s="2" t="s">
        <v>56</v>
      </c>
      <c r="F69" s="2" t="s">
        <v>57</v>
      </c>
      <c r="G69" s="2" t="s">
        <v>30</v>
      </c>
      <c r="H69" s="2" t="s">
        <v>30</v>
      </c>
      <c r="I69" s="2" t="s">
        <v>822</v>
      </c>
      <c r="J69" s="2" t="s">
        <v>410</v>
      </c>
      <c r="K69" s="2" t="s">
        <v>823</v>
      </c>
      <c r="L69" s="2" t="s">
        <v>33</v>
      </c>
      <c r="M69" s="2" t="s">
        <v>295</v>
      </c>
      <c r="N69" s="3" t="s">
        <v>824</v>
      </c>
      <c r="O69" s="3" t="s">
        <v>36</v>
      </c>
      <c r="P69" s="2" t="s">
        <v>168</v>
      </c>
      <c r="Q69" s="2" t="s">
        <v>29</v>
      </c>
      <c r="R69" s="3" t="s">
        <v>825</v>
      </c>
      <c r="S69" s="3" t="s">
        <v>826</v>
      </c>
      <c r="T69" s="3" t="s">
        <v>827</v>
      </c>
      <c r="U69" s="3" t="s">
        <v>828</v>
      </c>
      <c r="V69" s="3" t="s">
        <v>829</v>
      </c>
      <c r="W69" s="3" t="s">
        <v>830</v>
      </c>
      <c r="X69" s="2"/>
      <c r="Y69" s="2" t="s">
        <v>831</v>
      </c>
      <c r="Z69" s="3"/>
      <c r="AA69" s="2" t="s">
        <v>832</v>
      </c>
    </row>
    <row r="70" customFormat="false" ht="62.25" hidden="false" customHeight="true" outlineLevel="0" collapsed="false">
      <c r="A70" s="2" t="n">
        <v>69</v>
      </c>
      <c r="B70" s="2" t="s">
        <v>833</v>
      </c>
      <c r="C70" s="2"/>
      <c r="D70" s="2"/>
      <c r="E70" s="2" t="s">
        <v>253</v>
      </c>
      <c r="F70" s="2" t="s">
        <v>29</v>
      </c>
      <c r="G70" s="2" t="s">
        <v>30</v>
      </c>
      <c r="H70" s="2" t="s">
        <v>30</v>
      </c>
      <c r="I70" s="2" t="s">
        <v>89</v>
      </c>
      <c r="J70" s="2" t="s">
        <v>450</v>
      </c>
      <c r="K70" s="2" t="s">
        <v>834</v>
      </c>
      <c r="L70" s="2" t="s">
        <v>33</v>
      </c>
      <c r="M70" s="2" t="s">
        <v>295</v>
      </c>
      <c r="N70" s="3" t="s">
        <v>835</v>
      </c>
      <c r="O70" s="3" t="s">
        <v>36</v>
      </c>
      <c r="P70" s="2"/>
      <c r="Q70" s="2" t="s">
        <v>29</v>
      </c>
      <c r="R70" s="3" t="s">
        <v>836</v>
      </c>
      <c r="S70" s="3" t="s">
        <v>837</v>
      </c>
      <c r="T70" s="3" t="s">
        <v>838</v>
      </c>
      <c r="U70" s="3" t="s">
        <v>839</v>
      </c>
      <c r="V70" s="3" t="s">
        <v>840</v>
      </c>
      <c r="W70" s="3" t="s">
        <v>841</v>
      </c>
      <c r="X70" s="2"/>
      <c r="Y70" s="2" t="s">
        <v>842</v>
      </c>
      <c r="Z70" s="3"/>
      <c r="AA70" s="2" t="s">
        <v>843</v>
      </c>
    </row>
    <row r="71" customFormat="false" ht="62.25" hidden="false" customHeight="true" outlineLevel="0" collapsed="false">
      <c r="A71" s="2" t="n">
        <v>70</v>
      </c>
      <c r="B71" s="2" t="s">
        <v>844</v>
      </c>
      <c r="C71" s="2"/>
      <c r="D71" s="2"/>
      <c r="E71" s="2" t="s">
        <v>56</v>
      </c>
      <c r="F71" s="2" t="s">
        <v>29</v>
      </c>
      <c r="G71" s="2" t="s">
        <v>30</v>
      </c>
      <c r="H71" s="2" t="s">
        <v>30</v>
      </c>
      <c r="I71" s="2" t="s">
        <v>410</v>
      </c>
      <c r="J71" s="2" t="s">
        <v>410</v>
      </c>
      <c r="K71" s="2" t="s">
        <v>845</v>
      </c>
      <c r="L71" s="2" t="s">
        <v>33</v>
      </c>
      <c r="M71" s="2" t="s">
        <v>34</v>
      </c>
      <c r="N71" s="3" t="s">
        <v>846</v>
      </c>
      <c r="O71" s="3" t="s">
        <v>36</v>
      </c>
      <c r="P71" s="2"/>
      <c r="Q71" s="2" t="s">
        <v>29</v>
      </c>
      <c r="R71" s="3" t="s">
        <v>847</v>
      </c>
      <c r="S71" s="3" t="s">
        <v>848</v>
      </c>
      <c r="T71" s="3" t="s">
        <v>849</v>
      </c>
      <c r="U71" s="3" t="s">
        <v>850</v>
      </c>
      <c r="V71" s="3" t="s">
        <v>851</v>
      </c>
      <c r="W71" s="3" t="s">
        <v>202</v>
      </c>
      <c r="X71" s="2"/>
      <c r="Y71" s="2" t="s">
        <v>202</v>
      </c>
      <c r="Z71" s="3"/>
      <c r="AA71" s="2" t="s">
        <v>852</v>
      </c>
    </row>
    <row r="72" customFormat="false" ht="75" hidden="false" customHeight="true" outlineLevel="0" collapsed="false">
      <c r="A72" s="2" t="n">
        <v>71</v>
      </c>
      <c r="B72" s="2" t="s">
        <v>853</v>
      </c>
      <c r="C72" s="2"/>
      <c r="D72" s="2"/>
      <c r="E72" s="2" t="s">
        <v>56</v>
      </c>
      <c r="F72" s="2" t="s">
        <v>30</v>
      </c>
      <c r="G72" s="2" t="s">
        <v>30</v>
      </c>
      <c r="H72" s="2" t="s">
        <v>30</v>
      </c>
      <c r="I72" s="2" t="s">
        <v>118</v>
      </c>
      <c r="J72" s="2" t="s">
        <v>139</v>
      </c>
      <c r="K72" s="2" t="s">
        <v>206</v>
      </c>
      <c r="L72" s="2" t="s">
        <v>33</v>
      </c>
      <c r="M72" s="2" t="s">
        <v>34</v>
      </c>
      <c r="N72" s="3" t="s">
        <v>854</v>
      </c>
      <c r="O72" s="3" t="s">
        <v>36</v>
      </c>
      <c r="P72" s="2"/>
      <c r="Q72" s="2" t="s">
        <v>29</v>
      </c>
      <c r="R72" s="3" t="s">
        <v>855</v>
      </c>
      <c r="S72" s="3" t="s">
        <v>856</v>
      </c>
      <c r="T72" s="3" t="s">
        <v>857</v>
      </c>
      <c r="U72" s="3" t="s">
        <v>858</v>
      </c>
      <c r="V72" s="3" t="s">
        <v>859</v>
      </c>
      <c r="W72" s="3" t="s">
        <v>860</v>
      </c>
      <c r="X72" s="2"/>
      <c r="Y72" s="2" t="s">
        <v>860</v>
      </c>
      <c r="Z72" s="3"/>
      <c r="AA72" s="2" t="s">
        <v>861</v>
      </c>
    </row>
    <row r="73" customFormat="false" ht="62.25" hidden="false" customHeight="true" outlineLevel="0" collapsed="false">
      <c r="A73" s="2" t="n">
        <v>72</v>
      </c>
      <c r="B73" s="2" t="s">
        <v>862</v>
      </c>
      <c r="C73" s="2"/>
      <c r="D73" s="2"/>
      <c r="E73" s="2" t="s">
        <v>56</v>
      </c>
      <c r="F73" s="2" t="s">
        <v>29</v>
      </c>
      <c r="G73" s="2" t="s">
        <v>30</v>
      </c>
      <c r="H73" s="2" t="s">
        <v>30</v>
      </c>
      <c r="I73" s="2" t="s">
        <v>863</v>
      </c>
      <c r="J73" s="2" t="s">
        <v>216</v>
      </c>
      <c r="K73" s="2" t="s">
        <v>32</v>
      </c>
      <c r="L73" s="2" t="s">
        <v>33</v>
      </c>
      <c r="M73" s="2" t="s">
        <v>34</v>
      </c>
      <c r="N73" s="3" t="s">
        <v>864</v>
      </c>
      <c r="O73" s="3" t="s">
        <v>36</v>
      </c>
      <c r="P73" s="2" t="s">
        <v>865</v>
      </c>
      <c r="Q73" s="2" t="s">
        <v>29</v>
      </c>
      <c r="R73" s="3" t="s">
        <v>866</v>
      </c>
      <c r="S73" s="3" t="s">
        <v>867</v>
      </c>
      <c r="T73" s="3" t="s">
        <v>868</v>
      </c>
      <c r="U73" s="3" t="s">
        <v>869</v>
      </c>
      <c r="V73" s="3" t="s">
        <v>870</v>
      </c>
      <c r="W73" s="3" t="s">
        <v>871</v>
      </c>
      <c r="X73" s="2"/>
      <c r="Y73" s="2" t="s">
        <v>871</v>
      </c>
      <c r="Z73" s="3"/>
      <c r="AA73" s="2" t="s">
        <v>872</v>
      </c>
    </row>
    <row r="74" customFormat="false" ht="87" hidden="false" customHeight="true" outlineLevel="0" collapsed="false">
      <c r="A74" s="2" t="n">
        <v>73</v>
      </c>
      <c r="B74" s="2" t="s">
        <v>873</v>
      </c>
      <c r="C74" s="2"/>
      <c r="D74" s="2"/>
      <c r="E74" s="2" t="s">
        <v>253</v>
      </c>
      <c r="F74" s="2" t="s">
        <v>29</v>
      </c>
      <c r="G74" s="2" t="s">
        <v>30</v>
      </c>
      <c r="H74" s="2" t="s">
        <v>30</v>
      </c>
      <c r="I74" s="2" t="s">
        <v>493</v>
      </c>
      <c r="J74" s="2" t="s">
        <v>494</v>
      </c>
      <c r="K74" s="2" t="s">
        <v>165</v>
      </c>
      <c r="L74" s="2" t="s">
        <v>166</v>
      </c>
      <c r="M74" s="2" t="s">
        <v>165</v>
      </c>
      <c r="N74" s="3" t="s">
        <v>167</v>
      </c>
      <c r="O74" s="3" t="s">
        <v>36</v>
      </c>
      <c r="P74" s="2"/>
      <c r="Q74" s="2" t="s">
        <v>29</v>
      </c>
      <c r="R74" s="3" t="s">
        <v>874</v>
      </c>
      <c r="S74" s="3" t="s">
        <v>875</v>
      </c>
      <c r="T74" s="3" t="s">
        <v>876</v>
      </c>
      <c r="U74" s="3" t="s">
        <v>877</v>
      </c>
      <c r="V74" s="3" t="s">
        <v>878</v>
      </c>
      <c r="W74" s="3"/>
      <c r="X74" s="2"/>
      <c r="Y74" s="2" t="s">
        <v>879</v>
      </c>
      <c r="Z74" s="3"/>
      <c r="AA74" s="2" t="s">
        <v>880</v>
      </c>
    </row>
    <row r="75" customFormat="false" ht="62.25" hidden="false" customHeight="true" outlineLevel="0" collapsed="false">
      <c r="A75" s="2" t="n">
        <v>74</v>
      </c>
      <c r="B75" s="2" t="s">
        <v>881</v>
      </c>
      <c r="C75" s="2"/>
      <c r="D75" s="2"/>
      <c r="E75" s="2" t="s">
        <v>56</v>
      </c>
      <c r="F75" s="2" t="s">
        <v>57</v>
      </c>
      <c r="G75" s="2" t="s">
        <v>30</v>
      </c>
      <c r="H75" s="2" t="s">
        <v>30</v>
      </c>
      <c r="I75" s="2" t="s">
        <v>882</v>
      </c>
      <c r="J75" s="2" t="s">
        <v>882</v>
      </c>
      <c r="K75" s="2" t="s">
        <v>354</v>
      </c>
      <c r="L75" s="2" t="s">
        <v>355</v>
      </c>
      <c r="M75" s="2" t="s">
        <v>153</v>
      </c>
      <c r="N75" s="3" t="s">
        <v>356</v>
      </c>
      <c r="O75" s="3" t="s">
        <v>36</v>
      </c>
      <c r="P75" s="2" t="s">
        <v>883</v>
      </c>
      <c r="Q75" s="2" t="s">
        <v>29</v>
      </c>
      <c r="R75" s="3" t="s">
        <v>884</v>
      </c>
      <c r="S75" s="3" t="s">
        <v>885</v>
      </c>
      <c r="T75" s="3" t="s">
        <v>886</v>
      </c>
      <c r="U75" s="3" t="s">
        <v>887</v>
      </c>
      <c r="V75" s="3" t="s">
        <v>888</v>
      </c>
      <c r="W75" s="3" t="s">
        <v>889</v>
      </c>
      <c r="X75" s="2"/>
      <c r="Y75" s="2" t="s">
        <v>889</v>
      </c>
      <c r="Z75" s="3"/>
      <c r="AA75" s="2" t="s">
        <v>890</v>
      </c>
    </row>
    <row r="76" customFormat="false" ht="75" hidden="false" customHeight="true" outlineLevel="0" collapsed="false">
      <c r="A76" s="2" t="n">
        <v>75</v>
      </c>
      <c r="B76" s="2" t="s">
        <v>891</v>
      </c>
      <c r="C76" s="2" t="s">
        <v>86</v>
      </c>
      <c r="D76" s="2" t="s">
        <v>87</v>
      </c>
      <c r="E76" s="2" t="s">
        <v>28</v>
      </c>
      <c r="F76" s="2" t="s">
        <v>57</v>
      </c>
      <c r="G76" s="2" t="s">
        <v>30</v>
      </c>
      <c r="H76" s="2" t="s">
        <v>30</v>
      </c>
      <c r="I76" s="2" t="s">
        <v>882</v>
      </c>
      <c r="J76" s="2" t="s">
        <v>751</v>
      </c>
      <c r="K76" s="2" t="s">
        <v>654</v>
      </c>
      <c r="L76" s="2" t="s">
        <v>33</v>
      </c>
      <c r="M76" s="2" t="s">
        <v>295</v>
      </c>
      <c r="N76" s="3" t="s">
        <v>655</v>
      </c>
      <c r="O76" s="3" t="s">
        <v>36</v>
      </c>
      <c r="P76" s="2"/>
      <c r="Q76" s="2" t="s">
        <v>29</v>
      </c>
      <c r="R76" s="3" t="s">
        <v>892</v>
      </c>
      <c r="S76" s="3" t="s">
        <v>893</v>
      </c>
      <c r="T76" s="3" t="s">
        <v>894</v>
      </c>
      <c r="U76" s="3" t="s">
        <v>895</v>
      </c>
      <c r="V76" s="3" t="s">
        <v>896</v>
      </c>
      <c r="W76" s="3" t="s">
        <v>619</v>
      </c>
      <c r="X76" s="2"/>
      <c r="Y76" s="2" t="s">
        <v>733</v>
      </c>
      <c r="Z76" s="3" t="s">
        <v>734</v>
      </c>
      <c r="AA76" s="2" t="s">
        <v>897</v>
      </c>
    </row>
    <row r="77" customFormat="false" ht="62.25" hidden="false" customHeight="true" outlineLevel="0" collapsed="false">
      <c r="A77" s="2" t="n">
        <v>76</v>
      </c>
      <c r="B77" s="2" t="s">
        <v>898</v>
      </c>
      <c r="C77" s="2"/>
      <c r="D77" s="2"/>
      <c r="E77" s="2" t="s">
        <v>28</v>
      </c>
      <c r="F77" s="2" t="s">
        <v>29</v>
      </c>
      <c r="G77" s="2" t="s">
        <v>30</v>
      </c>
      <c r="H77" s="2" t="s">
        <v>30</v>
      </c>
      <c r="I77" s="2" t="s">
        <v>899</v>
      </c>
      <c r="J77" s="2" t="s">
        <v>46</v>
      </c>
      <c r="K77" s="2" t="s">
        <v>165</v>
      </c>
      <c r="L77" s="2" t="s">
        <v>166</v>
      </c>
      <c r="M77" s="2" t="s">
        <v>165</v>
      </c>
      <c r="N77" s="3" t="s">
        <v>167</v>
      </c>
      <c r="O77" s="3" t="s">
        <v>36</v>
      </c>
      <c r="P77" s="2"/>
      <c r="Q77" s="2" t="s">
        <v>29</v>
      </c>
      <c r="R77" s="3" t="s">
        <v>900</v>
      </c>
      <c r="S77" s="3" t="s">
        <v>901</v>
      </c>
      <c r="T77" s="3" t="s">
        <v>902</v>
      </c>
      <c r="U77" s="3" t="s">
        <v>903</v>
      </c>
      <c r="V77" s="3" t="s">
        <v>904</v>
      </c>
      <c r="W77" s="3" t="s">
        <v>905</v>
      </c>
      <c r="X77" s="2"/>
      <c r="Y77" s="2" t="s">
        <v>906</v>
      </c>
      <c r="Z77" s="3"/>
      <c r="AA77" s="2" t="s">
        <v>907</v>
      </c>
    </row>
    <row r="78" customFormat="false" ht="75" hidden="false" customHeight="true" outlineLevel="0" collapsed="false">
      <c r="A78" s="2" t="n">
        <v>77</v>
      </c>
      <c r="B78" s="2" t="s">
        <v>908</v>
      </c>
      <c r="C78" s="2"/>
      <c r="D78" s="2"/>
      <c r="E78" s="2" t="s">
        <v>28</v>
      </c>
      <c r="F78" s="2" t="s">
        <v>57</v>
      </c>
      <c r="G78" s="2" t="s">
        <v>30</v>
      </c>
      <c r="H78" s="2" t="s">
        <v>30</v>
      </c>
      <c r="I78" s="2" t="s">
        <v>909</v>
      </c>
      <c r="J78" s="2" t="s">
        <v>139</v>
      </c>
      <c r="K78" s="2" t="s">
        <v>910</v>
      </c>
      <c r="L78" s="2" t="s">
        <v>33</v>
      </c>
      <c r="M78" s="2" t="s">
        <v>295</v>
      </c>
      <c r="N78" s="3" t="s">
        <v>911</v>
      </c>
      <c r="O78" s="3" t="s">
        <v>912</v>
      </c>
      <c r="P78" s="2" t="s">
        <v>913</v>
      </c>
      <c r="Q78" s="2" t="s">
        <v>29</v>
      </c>
      <c r="R78" s="3" t="s">
        <v>914</v>
      </c>
      <c r="S78" s="3" t="s">
        <v>915</v>
      </c>
      <c r="T78" s="3" t="s">
        <v>916</v>
      </c>
      <c r="U78" s="3" t="s">
        <v>917</v>
      </c>
      <c r="V78" s="3" t="s">
        <v>918</v>
      </c>
      <c r="W78" s="3" t="s">
        <v>919</v>
      </c>
      <c r="X78" s="2"/>
      <c r="Y78" s="2" t="s">
        <v>920</v>
      </c>
      <c r="Z78" s="3"/>
      <c r="AA78" s="2" t="s">
        <v>921</v>
      </c>
    </row>
    <row r="79" customFormat="false" ht="62.25" hidden="false" customHeight="true" outlineLevel="0" collapsed="false">
      <c r="A79" s="2" t="n">
        <v>78</v>
      </c>
      <c r="B79" s="2" t="s">
        <v>922</v>
      </c>
      <c r="C79" s="2"/>
      <c r="D79" s="2"/>
      <c r="E79" s="2" t="s">
        <v>56</v>
      </c>
      <c r="F79" s="2" t="s">
        <v>30</v>
      </c>
      <c r="G79" s="2" t="s">
        <v>30</v>
      </c>
      <c r="H79" s="2" t="s">
        <v>30</v>
      </c>
      <c r="I79" s="2" t="s">
        <v>118</v>
      </c>
      <c r="J79" s="2" t="s">
        <v>139</v>
      </c>
      <c r="K79" s="2" t="s">
        <v>923</v>
      </c>
      <c r="L79" s="2" t="s">
        <v>412</v>
      </c>
      <c r="M79" s="2" t="s">
        <v>153</v>
      </c>
      <c r="N79" s="3" t="s">
        <v>924</v>
      </c>
      <c r="O79" s="3" t="s">
        <v>36</v>
      </c>
      <c r="P79" s="2"/>
      <c r="Q79" s="2" t="s">
        <v>29</v>
      </c>
      <c r="R79" s="3" t="s">
        <v>925</v>
      </c>
      <c r="S79" s="3" t="s">
        <v>926</v>
      </c>
      <c r="T79" s="3" t="s">
        <v>927</v>
      </c>
      <c r="U79" s="3" t="s">
        <v>928</v>
      </c>
      <c r="V79" s="3" t="s">
        <v>929</v>
      </c>
      <c r="W79" s="3" t="s">
        <v>930</v>
      </c>
      <c r="X79" s="2"/>
      <c r="Y79" s="2" t="s">
        <v>931</v>
      </c>
      <c r="Z79" s="3"/>
      <c r="AA79" s="2" t="s">
        <v>932</v>
      </c>
    </row>
    <row r="80" customFormat="false" ht="62.25" hidden="false" customHeight="true" outlineLevel="0" collapsed="false">
      <c r="A80" s="2" t="n">
        <v>79</v>
      </c>
      <c r="B80" s="2" t="s">
        <v>933</v>
      </c>
      <c r="C80" s="2"/>
      <c r="D80" s="2"/>
      <c r="E80" s="2" t="s">
        <v>56</v>
      </c>
      <c r="F80" s="2" t="s">
        <v>29</v>
      </c>
      <c r="G80" s="2" t="s">
        <v>30</v>
      </c>
      <c r="H80" s="2" t="s">
        <v>30</v>
      </c>
      <c r="I80" s="2" t="s">
        <v>139</v>
      </c>
      <c r="J80" s="2" t="s">
        <v>106</v>
      </c>
      <c r="K80" s="2" t="s">
        <v>107</v>
      </c>
      <c r="L80" s="2" t="s">
        <v>33</v>
      </c>
      <c r="M80" s="2" t="s">
        <v>107</v>
      </c>
      <c r="N80" s="3" t="s">
        <v>934</v>
      </c>
      <c r="O80" s="3" t="s">
        <v>36</v>
      </c>
      <c r="P80" s="2"/>
      <c r="Q80" s="2" t="s">
        <v>29</v>
      </c>
      <c r="R80" s="3" t="s">
        <v>935</v>
      </c>
      <c r="S80" s="3" t="s">
        <v>936</v>
      </c>
      <c r="T80" s="3" t="s">
        <v>937</v>
      </c>
      <c r="U80" s="3" t="s">
        <v>938</v>
      </c>
      <c r="V80" s="3" t="s">
        <v>939</v>
      </c>
      <c r="W80" s="3" t="s">
        <v>940</v>
      </c>
      <c r="X80" s="2"/>
      <c r="Y80" s="2" t="s">
        <v>940</v>
      </c>
      <c r="Z80" s="3"/>
      <c r="AA80" s="2" t="s">
        <v>941</v>
      </c>
    </row>
    <row r="81" customFormat="false" ht="75" hidden="false" customHeight="true" outlineLevel="0" collapsed="false">
      <c r="A81" s="2" t="n">
        <v>80</v>
      </c>
      <c r="B81" s="2" t="s">
        <v>942</v>
      </c>
      <c r="C81" s="2" t="s">
        <v>86</v>
      </c>
      <c r="D81" s="2" t="s">
        <v>87</v>
      </c>
      <c r="E81" s="2" t="s">
        <v>56</v>
      </c>
      <c r="F81" s="2" t="s">
        <v>57</v>
      </c>
      <c r="G81" s="2" t="s">
        <v>30</v>
      </c>
      <c r="H81" s="2" t="s">
        <v>30</v>
      </c>
      <c r="I81" s="2" t="s">
        <v>139</v>
      </c>
      <c r="J81" s="2" t="s">
        <v>106</v>
      </c>
      <c r="K81" s="2" t="s">
        <v>943</v>
      </c>
      <c r="L81" s="2" t="s">
        <v>33</v>
      </c>
      <c r="M81" s="2" t="s">
        <v>295</v>
      </c>
      <c r="N81" s="3" t="s">
        <v>944</v>
      </c>
      <c r="O81" s="3" t="s">
        <v>36</v>
      </c>
      <c r="P81" s="2"/>
      <c r="Q81" s="2" t="s">
        <v>29</v>
      </c>
      <c r="R81" s="3" t="s">
        <v>945</v>
      </c>
      <c r="S81" s="3" t="s">
        <v>946</v>
      </c>
      <c r="T81" s="3" t="s">
        <v>947</v>
      </c>
      <c r="U81" s="3" t="s">
        <v>948</v>
      </c>
      <c r="V81" s="3" t="s">
        <v>618</v>
      </c>
      <c r="W81" s="3" t="s">
        <v>619</v>
      </c>
      <c r="X81" s="2"/>
      <c r="Y81" s="2" t="s">
        <v>733</v>
      </c>
      <c r="Z81" s="3" t="s">
        <v>949</v>
      </c>
      <c r="AA81" s="2" t="s">
        <v>950</v>
      </c>
    </row>
    <row r="82" customFormat="false" ht="75" hidden="false" customHeight="true" outlineLevel="0" collapsed="false">
      <c r="A82" s="2" t="n">
        <v>81</v>
      </c>
      <c r="B82" s="2" t="s">
        <v>951</v>
      </c>
      <c r="C82" s="2"/>
      <c r="D82" s="2"/>
      <c r="E82" s="2" t="s">
        <v>28</v>
      </c>
      <c r="F82" s="2" t="s">
        <v>29</v>
      </c>
      <c r="G82" s="2" t="s">
        <v>30</v>
      </c>
      <c r="H82" s="2" t="s">
        <v>30</v>
      </c>
      <c r="I82" s="2" t="s">
        <v>163</v>
      </c>
      <c r="J82" s="2" t="s">
        <v>164</v>
      </c>
      <c r="K82" s="2" t="s">
        <v>952</v>
      </c>
      <c r="L82" s="2" t="s">
        <v>193</v>
      </c>
      <c r="M82" s="2" t="s">
        <v>194</v>
      </c>
      <c r="N82" s="3" t="s">
        <v>953</v>
      </c>
      <c r="O82" s="3" t="s">
        <v>36</v>
      </c>
      <c r="P82" s="2"/>
      <c r="Q82" s="2" t="s">
        <v>29</v>
      </c>
      <c r="R82" s="3" t="s">
        <v>954</v>
      </c>
      <c r="S82" s="3" t="s">
        <v>955</v>
      </c>
      <c r="T82" s="3" t="s">
        <v>956</v>
      </c>
      <c r="U82" s="3" t="s">
        <v>957</v>
      </c>
      <c r="V82" s="3" t="s">
        <v>958</v>
      </c>
      <c r="W82" s="3" t="s">
        <v>959</v>
      </c>
      <c r="X82" s="2"/>
      <c r="Y82" s="2" t="s">
        <v>959</v>
      </c>
      <c r="Z82" s="3"/>
      <c r="AA82" s="2" t="s">
        <v>960</v>
      </c>
    </row>
    <row r="83" customFormat="false" ht="62.25" hidden="false" customHeight="true" outlineLevel="0" collapsed="false">
      <c r="A83" s="2" t="n">
        <v>82</v>
      </c>
      <c r="B83" s="2" t="s">
        <v>961</v>
      </c>
      <c r="C83" s="2"/>
      <c r="D83" s="2"/>
      <c r="E83" s="2" t="s">
        <v>253</v>
      </c>
      <c r="F83" s="2" t="s">
        <v>29</v>
      </c>
      <c r="G83" s="2" t="s">
        <v>30</v>
      </c>
      <c r="H83" s="2" t="s">
        <v>30</v>
      </c>
      <c r="I83" s="2" t="s">
        <v>163</v>
      </c>
      <c r="J83" s="2" t="s">
        <v>179</v>
      </c>
      <c r="K83" s="2" t="s">
        <v>309</v>
      </c>
      <c r="L83" s="2" t="s">
        <v>33</v>
      </c>
      <c r="M83" s="2" t="s">
        <v>295</v>
      </c>
      <c r="N83" s="3" t="s">
        <v>962</v>
      </c>
      <c r="O83" s="3" t="s">
        <v>36</v>
      </c>
      <c r="P83" s="2" t="s">
        <v>428</v>
      </c>
      <c r="Q83" s="2" t="s">
        <v>29</v>
      </c>
      <c r="R83" s="3" t="s">
        <v>963</v>
      </c>
      <c r="S83" s="3" t="s">
        <v>964</v>
      </c>
      <c r="T83" s="3" t="s">
        <v>965</v>
      </c>
      <c r="U83" s="3" t="s">
        <v>966</v>
      </c>
      <c r="V83" s="3" t="s">
        <v>967</v>
      </c>
      <c r="W83" s="3" t="s">
        <v>968</v>
      </c>
      <c r="X83" s="2"/>
      <c r="Y83" s="2" t="s">
        <v>968</v>
      </c>
      <c r="Z83" s="3"/>
      <c r="AA83" s="2" t="s">
        <v>969</v>
      </c>
    </row>
    <row r="84" customFormat="false" ht="75" hidden="false" customHeight="true" outlineLevel="0" collapsed="false">
      <c r="A84" s="2" t="n">
        <v>83</v>
      </c>
      <c r="B84" s="2" t="s">
        <v>970</v>
      </c>
      <c r="C84" s="2"/>
      <c r="D84" s="2"/>
      <c r="E84" s="2" t="s">
        <v>28</v>
      </c>
      <c r="F84" s="2" t="s">
        <v>30</v>
      </c>
      <c r="G84" s="2" t="s">
        <v>30</v>
      </c>
      <c r="H84" s="2" t="s">
        <v>30</v>
      </c>
      <c r="I84" s="2" t="s">
        <v>163</v>
      </c>
      <c r="J84" s="2" t="s">
        <v>179</v>
      </c>
      <c r="K84" s="2" t="s">
        <v>971</v>
      </c>
      <c r="L84" s="2" t="s">
        <v>256</v>
      </c>
      <c r="M84" s="2" t="s">
        <v>256</v>
      </c>
      <c r="N84" s="3" t="s">
        <v>972</v>
      </c>
      <c r="O84" s="3" t="s">
        <v>357</v>
      </c>
      <c r="P84" s="2" t="s">
        <v>130</v>
      </c>
      <c r="Q84" s="2" t="s">
        <v>29</v>
      </c>
      <c r="R84" s="3" t="s">
        <v>973</v>
      </c>
      <c r="S84" s="3" t="s">
        <v>974</v>
      </c>
      <c r="T84" s="3" t="s">
        <v>975</v>
      </c>
      <c r="U84" s="3" t="s">
        <v>976</v>
      </c>
      <c r="V84" s="3" t="s">
        <v>977</v>
      </c>
      <c r="W84" s="3"/>
      <c r="X84" s="2"/>
      <c r="Y84" s="2" t="s">
        <v>978</v>
      </c>
      <c r="Z84" s="3" t="s">
        <v>979</v>
      </c>
      <c r="AA84" s="2" t="s">
        <v>980</v>
      </c>
    </row>
    <row r="85" customFormat="false" ht="62.25" hidden="false" customHeight="true" outlineLevel="0" collapsed="false">
      <c r="A85" s="2" t="n">
        <v>84</v>
      </c>
      <c r="B85" s="2" t="s">
        <v>981</v>
      </c>
      <c r="C85" s="2"/>
      <c r="D85" s="2"/>
      <c r="E85" s="2" t="s">
        <v>28</v>
      </c>
      <c r="F85" s="2" t="s">
        <v>57</v>
      </c>
      <c r="G85" s="2" t="s">
        <v>30</v>
      </c>
      <c r="H85" s="2" t="s">
        <v>30</v>
      </c>
      <c r="I85" s="2" t="s">
        <v>178</v>
      </c>
      <c r="J85" s="2" t="s">
        <v>164</v>
      </c>
      <c r="K85" s="2" t="s">
        <v>59</v>
      </c>
      <c r="L85" s="2" t="s">
        <v>33</v>
      </c>
      <c r="M85" s="2" t="s">
        <v>60</v>
      </c>
      <c r="N85" s="3" t="s">
        <v>61</v>
      </c>
      <c r="O85" s="3" t="s">
        <v>36</v>
      </c>
      <c r="P85" s="2"/>
      <c r="Q85" s="2" t="s">
        <v>29</v>
      </c>
      <c r="R85" s="3" t="s">
        <v>982</v>
      </c>
      <c r="S85" s="3" t="s">
        <v>983</v>
      </c>
      <c r="T85" s="3" t="s">
        <v>984</v>
      </c>
      <c r="U85" s="3" t="s">
        <v>985</v>
      </c>
      <c r="V85" s="3" t="s">
        <v>986</v>
      </c>
      <c r="W85" s="3" t="s">
        <v>987</v>
      </c>
      <c r="X85" s="2"/>
      <c r="Y85" s="2" t="s">
        <v>988</v>
      </c>
      <c r="Z85" s="3"/>
      <c r="AA85" s="2" t="s">
        <v>989</v>
      </c>
    </row>
    <row r="86" customFormat="false" ht="75" hidden="false" customHeight="true" outlineLevel="0" collapsed="false">
      <c r="A86" s="2" t="n">
        <v>85</v>
      </c>
      <c r="B86" s="2" t="s">
        <v>990</v>
      </c>
      <c r="C86" s="2"/>
      <c r="D86" s="2"/>
      <c r="E86" s="2" t="s">
        <v>56</v>
      </c>
      <c r="F86" s="2" t="s">
        <v>29</v>
      </c>
      <c r="G86" s="2" t="s">
        <v>30</v>
      </c>
      <c r="H86" s="2" t="s">
        <v>30</v>
      </c>
      <c r="I86" s="2" t="s">
        <v>164</v>
      </c>
      <c r="J86" s="2" t="s">
        <v>179</v>
      </c>
      <c r="K86" s="2" t="s">
        <v>206</v>
      </c>
      <c r="L86" s="2" t="s">
        <v>33</v>
      </c>
      <c r="M86" s="2" t="s">
        <v>34</v>
      </c>
      <c r="N86" s="3" t="s">
        <v>207</v>
      </c>
      <c r="O86" s="3" t="s">
        <v>36</v>
      </c>
      <c r="P86" s="2" t="s">
        <v>766</v>
      </c>
      <c r="Q86" s="2" t="s">
        <v>29</v>
      </c>
      <c r="R86" s="3" t="s">
        <v>991</v>
      </c>
      <c r="S86" s="3" t="s">
        <v>992</v>
      </c>
      <c r="T86" s="3" t="s">
        <v>993</v>
      </c>
      <c r="U86" s="3" t="s">
        <v>994</v>
      </c>
      <c r="V86" s="3" t="s">
        <v>995</v>
      </c>
      <c r="W86" s="3" t="s">
        <v>996</v>
      </c>
      <c r="X86" s="2"/>
      <c r="Y86" s="2" t="s">
        <v>996</v>
      </c>
      <c r="Z86" s="3"/>
      <c r="AA86" s="2" t="s">
        <v>997</v>
      </c>
    </row>
    <row r="87" customFormat="false" ht="229.5" hidden="false" customHeight="true" outlineLevel="0" collapsed="false">
      <c r="A87" s="2" t="n">
        <v>86</v>
      </c>
      <c r="B87" s="2" t="s">
        <v>998</v>
      </c>
      <c r="C87" s="2"/>
      <c r="D87" s="2"/>
      <c r="E87" s="2" t="s">
        <v>56</v>
      </c>
      <c r="F87" s="2" t="s">
        <v>29</v>
      </c>
      <c r="G87" s="2" t="s">
        <v>30</v>
      </c>
      <c r="H87" s="2" t="s">
        <v>30</v>
      </c>
      <c r="I87" s="2" t="s">
        <v>999</v>
      </c>
      <c r="J87" s="2" t="s">
        <v>1000</v>
      </c>
      <c r="K87" s="2" t="s">
        <v>1001</v>
      </c>
      <c r="L87" s="2" t="s">
        <v>1002</v>
      </c>
      <c r="M87" s="2" t="s">
        <v>194</v>
      </c>
      <c r="N87" s="3" t="s">
        <v>1003</v>
      </c>
      <c r="O87" s="3" t="s">
        <v>36</v>
      </c>
      <c r="P87" s="2" t="s">
        <v>1004</v>
      </c>
      <c r="Q87" s="2" t="s">
        <v>29</v>
      </c>
      <c r="R87" s="3" t="s">
        <v>1005</v>
      </c>
      <c r="S87" s="3" t="s">
        <v>1006</v>
      </c>
      <c r="T87" s="3" t="s">
        <v>1007</v>
      </c>
      <c r="U87" s="3" t="s">
        <v>1008</v>
      </c>
      <c r="V87" s="3" t="s">
        <v>1009</v>
      </c>
      <c r="W87" s="3"/>
      <c r="X87" s="2"/>
      <c r="Y87" s="2" t="s">
        <v>1010</v>
      </c>
      <c r="Z87" s="3" t="s">
        <v>1011</v>
      </c>
      <c r="AA87" s="2" t="s">
        <v>1012</v>
      </c>
    </row>
    <row r="88" customFormat="false" ht="75" hidden="false" customHeight="true" outlineLevel="0" collapsed="false">
      <c r="A88" s="2" t="n">
        <v>87</v>
      </c>
      <c r="B88" s="2" t="s">
        <v>1013</v>
      </c>
      <c r="C88" s="2"/>
      <c r="D88" s="2"/>
      <c r="E88" s="2" t="s">
        <v>56</v>
      </c>
      <c r="F88" s="2" t="s">
        <v>30</v>
      </c>
      <c r="G88" s="2" t="s">
        <v>30</v>
      </c>
      <c r="H88" s="2" t="s">
        <v>30</v>
      </c>
      <c r="I88" s="2" t="s">
        <v>463</v>
      </c>
      <c r="J88" s="2" t="s">
        <v>1014</v>
      </c>
      <c r="K88" s="2" t="s">
        <v>625</v>
      </c>
      <c r="L88" s="2" t="s">
        <v>625</v>
      </c>
      <c r="M88" s="2" t="s">
        <v>626</v>
      </c>
      <c r="N88" s="3" t="s">
        <v>1015</v>
      </c>
      <c r="O88" s="3" t="s">
        <v>36</v>
      </c>
      <c r="P88" s="2" t="s">
        <v>323</v>
      </c>
      <c r="Q88" s="2" t="s">
        <v>29</v>
      </c>
      <c r="R88" s="3" t="s">
        <v>1016</v>
      </c>
      <c r="S88" s="3" t="s">
        <v>1017</v>
      </c>
      <c r="T88" s="3" t="s">
        <v>1018</v>
      </c>
      <c r="U88" s="3" t="s">
        <v>1019</v>
      </c>
      <c r="V88" s="3" t="s">
        <v>1020</v>
      </c>
      <c r="W88" s="3" t="s">
        <v>1021</v>
      </c>
      <c r="X88" s="2"/>
      <c r="Y88" s="2" t="s">
        <v>1022</v>
      </c>
      <c r="Z88" s="3"/>
      <c r="AA88" s="2" t="s">
        <v>1023</v>
      </c>
    </row>
    <row r="89" customFormat="false" ht="62.25" hidden="false" customHeight="true" outlineLevel="0" collapsed="false">
      <c r="A89" s="2" t="n">
        <v>88</v>
      </c>
      <c r="B89" s="2" t="s">
        <v>1024</v>
      </c>
      <c r="C89" s="2"/>
      <c r="D89" s="2"/>
      <c r="E89" s="2" t="s">
        <v>253</v>
      </c>
      <c r="F89" s="2" t="s">
        <v>29</v>
      </c>
      <c r="G89" s="2" t="s">
        <v>30</v>
      </c>
      <c r="H89" s="2" t="s">
        <v>30</v>
      </c>
      <c r="I89" s="2" t="s">
        <v>1025</v>
      </c>
      <c r="J89" s="2" t="s">
        <v>1025</v>
      </c>
      <c r="K89" s="2" t="s">
        <v>74</v>
      </c>
      <c r="L89" s="2" t="s">
        <v>33</v>
      </c>
      <c r="M89" s="2" t="s">
        <v>74</v>
      </c>
      <c r="N89" s="3" t="s">
        <v>380</v>
      </c>
      <c r="O89" s="3" t="s">
        <v>36</v>
      </c>
      <c r="P89" s="2" t="s">
        <v>1026</v>
      </c>
      <c r="Q89" s="2" t="s">
        <v>29</v>
      </c>
      <c r="R89" s="3" t="s">
        <v>1027</v>
      </c>
      <c r="S89" s="3" t="s">
        <v>1028</v>
      </c>
      <c r="T89" s="3" t="s">
        <v>1029</v>
      </c>
      <c r="U89" s="3" t="s">
        <v>1030</v>
      </c>
      <c r="V89" s="3" t="s">
        <v>1031</v>
      </c>
      <c r="W89" s="3" t="s">
        <v>1032</v>
      </c>
      <c r="X89" s="2"/>
      <c r="Y89" s="2" t="s">
        <v>1032</v>
      </c>
      <c r="Z89" s="3"/>
      <c r="AA89" s="2" t="s">
        <v>1033</v>
      </c>
    </row>
    <row r="90" customFormat="false" ht="62.25" hidden="false" customHeight="true" outlineLevel="0" collapsed="false">
      <c r="A90" s="2" t="n">
        <v>89</v>
      </c>
      <c r="B90" s="2" t="s">
        <v>1034</v>
      </c>
      <c r="C90" s="2"/>
      <c r="D90" s="2"/>
      <c r="E90" s="2" t="s">
        <v>253</v>
      </c>
      <c r="F90" s="2" t="s">
        <v>29</v>
      </c>
      <c r="G90" s="2" t="s">
        <v>30</v>
      </c>
      <c r="H90" s="2" t="s">
        <v>30</v>
      </c>
      <c r="I90" s="2" t="s">
        <v>292</v>
      </c>
      <c r="J90" s="2" t="s">
        <v>321</v>
      </c>
      <c r="K90" s="2" t="s">
        <v>674</v>
      </c>
      <c r="L90" s="2" t="s">
        <v>33</v>
      </c>
      <c r="M90" s="2" t="s">
        <v>295</v>
      </c>
      <c r="N90" s="3" t="s">
        <v>1035</v>
      </c>
      <c r="O90" s="3" t="s">
        <v>36</v>
      </c>
      <c r="P90" s="2"/>
      <c r="Q90" s="2" t="s">
        <v>29</v>
      </c>
      <c r="R90" s="3" t="s">
        <v>1036</v>
      </c>
      <c r="S90" s="3" t="s">
        <v>1037</v>
      </c>
      <c r="T90" s="3" t="s">
        <v>1038</v>
      </c>
      <c r="U90" s="3" t="s">
        <v>1039</v>
      </c>
      <c r="V90" s="3" t="s">
        <v>1040</v>
      </c>
      <c r="W90" s="3" t="s">
        <v>1041</v>
      </c>
      <c r="X90" s="2"/>
      <c r="Y90" s="2" t="s">
        <v>1041</v>
      </c>
      <c r="Z90" s="3"/>
      <c r="AA90" s="2" t="s">
        <v>1042</v>
      </c>
    </row>
    <row r="91" customFormat="false" ht="75" hidden="false" customHeight="true" outlineLevel="0" collapsed="false">
      <c r="A91" s="2" t="n">
        <v>90</v>
      </c>
      <c r="B91" s="2" t="s">
        <v>1043</v>
      </c>
      <c r="C91" s="2"/>
      <c r="D91" s="2"/>
      <c r="E91" s="2" t="s">
        <v>56</v>
      </c>
      <c r="F91" s="2" t="s">
        <v>29</v>
      </c>
      <c r="G91" s="2" t="s">
        <v>30</v>
      </c>
      <c r="H91" s="2" t="s">
        <v>30</v>
      </c>
      <c r="I91" s="2" t="s">
        <v>482</v>
      </c>
      <c r="J91" s="2" t="s">
        <v>293</v>
      </c>
      <c r="K91" s="2" t="s">
        <v>206</v>
      </c>
      <c r="L91" s="2" t="s">
        <v>33</v>
      </c>
      <c r="M91" s="2" t="s">
        <v>34</v>
      </c>
      <c r="N91" s="3" t="s">
        <v>207</v>
      </c>
      <c r="O91" s="3" t="s">
        <v>36</v>
      </c>
      <c r="P91" s="2" t="s">
        <v>1044</v>
      </c>
      <c r="Q91" s="2" t="s">
        <v>29</v>
      </c>
      <c r="R91" s="3" t="s">
        <v>1045</v>
      </c>
      <c r="S91" s="3" t="s">
        <v>1046</v>
      </c>
      <c r="T91" s="3" t="s">
        <v>1047</v>
      </c>
      <c r="U91" s="3" t="s">
        <v>1048</v>
      </c>
      <c r="V91" s="3" t="s">
        <v>1049</v>
      </c>
      <c r="W91" s="3" t="s">
        <v>1050</v>
      </c>
      <c r="X91" s="2"/>
      <c r="Y91" s="2" t="s">
        <v>1051</v>
      </c>
      <c r="Z91" s="3"/>
      <c r="AA91" s="2" t="s">
        <v>1052</v>
      </c>
    </row>
    <row r="92" customFormat="false" ht="75" hidden="false" customHeight="true" outlineLevel="0" collapsed="false">
      <c r="A92" s="2" t="n">
        <v>91</v>
      </c>
      <c r="B92" s="2" t="s">
        <v>1053</v>
      </c>
      <c r="C92" s="2"/>
      <c r="D92" s="2"/>
      <c r="E92" s="2" t="s">
        <v>56</v>
      </c>
      <c r="F92" s="2" t="s">
        <v>29</v>
      </c>
      <c r="G92" s="2" t="s">
        <v>30</v>
      </c>
      <c r="H92" s="2" t="s">
        <v>30</v>
      </c>
      <c r="I92" s="2" t="s">
        <v>1054</v>
      </c>
      <c r="J92" s="2" t="s">
        <v>1055</v>
      </c>
      <c r="K92" s="2" t="s">
        <v>411</v>
      </c>
      <c r="L92" s="2" t="s">
        <v>412</v>
      </c>
      <c r="M92" s="2" t="s">
        <v>153</v>
      </c>
      <c r="N92" s="3" t="s">
        <v>1056</v>
      </c>
      <c r="O92" s="3" t="s">
        <v>36</v>
      </c>
      <c r="P92" s="2"/>
      <c r="Q92" s="2" t="s">
        <v>29</v>
      </c>
      <c r="R92" s="3" t="s">
        <v>1057</v>
      </c>
      <c r="S92" s="3" t="s">
        <v>1058</v>
      </c>
      <c r="T92" s="3" t="s">
        <v>1059</v>
      </c>
      <c r="U92" s="3" t="s">
        <v>1060</v>
      </c>
      <c r="V92" s="3" t="s">
        <v>1061</v>
      </c>
      <c r="W92" s="3"/>
      <c r="X92" s="2"/>
      <c r="Y92" s="2" t="s">
        <v>1062</v>
      </c>
      <c r="Z92" s="3"/>
      <c r="AA92" s="2" t="s">
        <v>1063</v>
      </c>
    </row>
    <row r="93" customFormat="false" ht="150" hidden="false" customHeight="true" outlineLevel="0" collapsed="false">
      <c r="A93" s="2" t="n">
        <v>92</v>
      </c>
      <c r="B93" s="2" t="s">
        <v>1064</v>
      </c>
      <c r="C93" s="2"/>
      <c r="D93" s="2" t="s">
        <v>87</v>
      </c>
      <c r="E93" s="2" t="s">
        <v>28</v>
      </c>
      <c r="F93" s="2" t="s">
        <v>57</v>
      </c>
      <c r="G93" s="2" t="s">
        <v>30</v>
      </c>
      <c r="H93" s="2" t="s">
        <v>30</v>
      </c>
      <c r="I93" s="2" t="s">
        <v>553</v>
      </c>
      <c r="J93" s="2" t="s">
        <v>1065</v>
      </c>
      <c r="K93" s="2" t="s">
        <v>923</v>
      </c>
      <c r="L93" s="2" t="s">
        <v>412</v>
      </c>
      <c r="M93" s="2" t="s">
        <v>153</v>
      </c>
      <c r="N93" s="3" t="s">
        <v>1066</v>
      </c>
      <c r="O93" s="3" t="s">
        <v>36</v>
      </c>
      <c r="P93" s="2" t="s">
        <v>76</v>
      </c>
      <c r="Q93" s="2" t="s">
        <v>29</v>
      </c>
      <c r="R93" s="3" t="s">
        <v>1067</v>
      </c>
      <c r="S93" s="3" t="s">
        <v>1068</v>
      </c>
      <c r="T93" s="3" t="s">
        <v>1069</v>
      </c>
      <c r="U93" s="3" t="s">
        <v>1070</v>
      </c>
      <c r="V93" s="3" t="s">
        <v>1071</v>
      </c>
      <c r="W93" s="3"/>
      <c r="X93" s="2"/>
      <c r="Y93" s="2" t="s">
        <v>1072</v>
      </c>
      <c r="Z93" s="3" t="s">
        <v>1073</v>
      </c>
      <c r="AA93" s="2" t="s">
        <v>1074</v>
      </c>
    </row>
    <row r="94" customFormat="false" ht="62.25" hidden="false" customHeight="true" outlineLevel="0" collapsed="false">
      <c r="A94" s="2" t="n">
        <v>93</v>
      </c>
      <c r="B94" s="2" t="s">
        <v>1075</v>
      </c>
      <c r="C94" s="2" t="s">
        <v>1076</v>
      </c>
      <c r="D94" s="2"/>
      <c r="E94" s="2" t="s">
        <v>28</v>
      </c>
      <c r="F94" s="2" t="s">
        <v>30</v>
      </c>
      <c r="G94" s="2" t="s">
        <v>30</v>
      </c>
      <c r="H94" s="2" t="s">
        <v>30</v>
      </c>
      <c r="I94" s="2" t="s">
        <v>1077</v>
      </c>
      <c r="J94" s="2" t="s">
        <v>1078</v>
      </c>
      <c r="K94" s="2" t="s">
        <v>1079</v>
      </c>
      <c r="L94" s="2" t="s">
        <v>1080</v>
      </c>
      <c r="M94" s="2" t="s">
        <v>194</v>
      </c>
      <c r="N94" s="3" t="s">
        <v>1081</v>
      </c>
      <c r="O94" s="3" t="s">
        <v>1082</v>
      </c>
      <c r="P94" s="2" t="s">
        <v>76</v>
      </c>
      <c r="Q94" s="2" t="s">
        <v>1083</v>
      </c>
      <c r="R94" s="3" t="s">
        <v>1084</v>
      </c>
      <c r="S94" s="3" t="s">
        <v>1085</v>
      </c>
      <c r="T94" s="3" t="s">
        <v>1086</v>
      </c>
      <c r="U94" s="3" t="s">
        <v>1087</v>
      </c>
      <c r="V94" s="3" t="s">
        <v>1088</v>
      </c>
      <c r="W94" s="3"/>
      <c r="X94" s="2"/>
      <c r="Y94" s="2" t="s">
        <v>1089</v>
      </c>
      <c r="Z94" s="3"/>
      <c r="AA94" s="2" t="s">
        <v>1090</v>
      </c>
    </row>
    <row r="95" customFormat="false" ht="75" hidden="false" customHeight="true" outlineLevel="0" collapsed="false">
      <c r="A95" s="2" t="n">
        <v>94</v>
      </c>
      <c r="B95" s="2" t="s">
        <v>1091</v>
      </c>
      <c r="C95" s="2" t="s">
        <v>1076</v>
      </c>
      <c r="D95" s="2"/>
      <c r="E95" s="2" t="s">
        <v>28</v>
      </c>
      <c r="F95" s="2" t="s">
        <v>30</v>
      </c>
      <c r="G95" s="2" t="s">
        <v>30</v>
      </c>
      <c r="H95" s="2" t="s">
        <v>30</v>
      </c>
      <c r="I95" s="2" t="s">
        <v>1092</v>
      </c>
      <c r="J95" s="2" t="s">
        <v>1093</v>
      </c>
      <c r="K95" s="2" t="s">
        <v>192</v>
      </c>
      <c r="L95" s="2" t="s">
        <v>193</v>
      </c>
      <c r="M95" s="2" t="s">
        <v>194</v>
      </c>
      <c r="N95" s="3" t="s">
        <v>195</v>
      </c>
      <c r="O95" s="3" t="s">
        <v>36</v>
      </c>
      <c r="P95" s="2"/>
      <c r="Q95" s="2" t="s">
        <v>1083</v>
      </c>
      <c r="R95" s="3" t="s">
        <v>1094</v>
      </c>
      <c r="S95" s="3" t="s">
        <v>1095</v>
      </c>
      <c r="T95" s="3" t="s">
        <v>1096</v>
      </c>
      <c r="U95" s="3" t="s">
        <v>1097</v>
      </c>
      <c r="V95" s="3" t="s">
        <v>1098</v>
      </c>
      <c r="W95" s="3" t="s">
        <v>1099</v>
      </c>
      <c r="X95" s="2"/>
      <c r="Y95" s="2" t="s">
        <v>1099</v>
      </c>
      <c r="Z95" s="3"/>
      <c r="AA95" s="2" t="s">
        <v>1100</v>
      </c>
    </row>
    <row r="96" customFormat="false" ht="75" hidden="false" customHeight="true" outlineLevel="0" collapsed="false">
      <c r="A96" s="2" t="n">
        <v>95</v>
      </c>
      <c r="B96" s="2" t="s">
        <v>1101</v>
      </c>
      <c r="C96" s="2" t="s">
        <v>1076</v>
      </c>
      <c r="D96" s="2"/>
      <c r="E96" s="2" t="s">
        <v>253</v>
      </c>
      <c r="F96" s="2" t="s">
        <v>29</v>
      </c>
      <c r="G96" s="2" t="s">
        <v>30</v>
      </c>
      <c r="H96" s="2" t="s">
        <v>30</v>
      </c>
      <c r="I96" s="2" t="s">
        <v>1092</v>
      </c>
      <c r="J96" s="2" t="s">
        <v>1092</v>
      </c>
      <c r="K96" s="2" t="s">
        <v>739</v>
      </c>
      <c r="L96" s="2" t="s">
        <v>33</v>
      </c>
      <c r="M96" s="2" t="s">
        <v>295</v>
      </c>
      <c r="N96" s="3" t="s">
        <v>1102</v>
      </c>
      <c r="O96" s="3" t="s">
        <v>1082</v>
      </c>
      <c r="P96" s="2"/>
      <c r="Q96" s="2" t="s">
        <v>1083</v>
      </c>
      <c r="R96" s="3" t="s">
        <v>1103</v>
      </c>
      <c r="S96" s="3" t="s">
        <v>1104</v>
      </c>
      <c r="T96" s="3" t="s">
        <v>1105</v>
      </c>
      <c r="U96" s="3" t="s">
        <v>1106</v>
      </c>
      <c r="V96" s="3" t="s">
        <v>1107</v>
      </c>
      <c r="W96" s="3" t="s">
        <v>1108</v>
      </c>
      <c r="X96" s="2"/>
      <c r="Y96" s="2" t="s">
        <v>1108</v>
      </c>
      <c r="Z96" s="3"/>
      <c r="AA96" s="2" t="s">
        <v>1109</v>
      </c>
    </row>
    <row r="97" customFormat="false" ht="62.25" hidden="false" customHeight="true" outlineLevel="0" collapsed="false">
      <c r="A97" s="2" t="n">
        <v>96</v>
      </c>
      <c r="B97" s="2" t="s">
        <v>1110</v>
      </c>
      <c r="C97" s="2" t="s">
        <v>1076</v>
      </c>
      <c r="D97" s="2"/>
      <c r="E97" s="2" t="s">
        <v>253</v>
      </c>
      <c r="F97" s="2" t="s">
        <v>30</v>
      </c>
      <c r="G97" s="2" t="s">
        <v>30</v>
      </c>
      <c r="H97" s="2" t="s">
        <v>30</v>
      </c>
      <c r="I97" s="2" t="s">
        <v>1111</v>
      </c>
      <c r="J97" s="2" t="s">
        <v>1112</v>
      </c>
      <c r="K97" s="2" t="s">
        <v>192</v>
      </c>
      <c r="L97" s="2" t="s">
        <v>193</v>
      </c>
      <c r="M97" s="2" t="s">
        <v>194</v>
      </c>
      <c r="N97" s="3" t="s">
        <v>195</v>
      </c>
      <c r="O97" s="3" t="s">
        <v>1113</v>
      </c>
      <c r="P97" s="2"/>
      <c r="Q97" s="2" t="s">
        <v>1083</v>
      </c>
      <c r="R97" s="3" t="s">
        <v>1114</v>
      </c>
      <c r="S97" s="3" t="s">
        <v>1115</v>
      </c>
      <c r="T97" s="3" t="s">
        <v>1116</v>
      </c>
      <c r="U97" s="3" t="s">
        <v>1117</v>
      </c>
      <c r="V97" s="3" t="s">
        <v>1118</v>
      </c>
      <c r="W97" s="3" t="s">
        <v>1119</v>
      </c>
      <c r="X97" s="2"/>
      <c r="Y97" s="2" t="s">
        <v>1119</v>
      </c>
      <c r="Z97" s="3"/>
      <c r="AA97" s="2" t="s">
        <v>1120</v>
      </c>
    </row>
    <row r="98" customFormat="false" ht="137.25" hidden="false" customHeight="true" outlineLevel="0" collapsed="false">
      <c r="A98" s="2" t="n">
        <v>97</v>
      </c>
      <c r="B98" s="2" t="s">
        <v>1121</v>
      </c>
      <c r="C98" s="2" t="s">
        <v>86</v>
      </c>
      <c r="D98" s="2" t="s">
        <v>1122</v>
      </c>
      <c r="E98" s="2" t="s">
        <v>56</v>
      </c>
      <c r="F98" s="2" t="s">
        <v>30</v>
      </c>
      <c r="G98" s="2" t="s">
        <v>30</v>
      </c>
      <c r="H98" s="2" t="s">
        <v>30</v>
      </c>
      <c r="I98" s="2" t="s">
        <v>1111</v>
      </c>
      <c r="J98" s="2" t="s">
        <v>1112</v>
      </c>
      <c r="K98" s="2" t="s">
        <v>943</v>
      </c>
      <c r="L98" s="2" t="s">
        <v>33</v>
      </c>
      <c r="M98" s="2" t="s">
        <v>295</v>
      </c>
      <c r="N98" s="3" t="s">
        <v>1123</v>
      </c>
      <c r="O98" s="3" t="s">
        <v>1124</v>
      </c>
      <c r="P98" s="2"/>
      <c r="Q98" s="2" t="s">
        <v>1083</v>
      </c>
      <c r="R98" s="3" t="s">
        <v>1125</v>
      </c>
      <c r="S98" s="3" t="s">
        <v>1126</v>
      </c>
      <c r="T98" s="3" t="s">
        <v>1127</v>
      </c>
      <c r="U98" s="3" t="s">
        <v>1128</v>
      </c>
      <c r="V98" s="3" t="s">
        <v>1129</v>
      </c>
      <c r="W98" s="3" t="s">
        <v>1130</v>
      </c>
      <c r="X98" s="2"/>
      <c r="Y98" s="2" t="s">
        <v>1130</v>
      </c>
      <c r="Z98" s="3" t="s">
        <v>1131</v>
      </c>
      <c r="AA98" s="2" t="s">
        <v>1132</v>
      </c>
    </row>
    <row r="99" customFormat="false" ht="75" hidden="false" customHeight="true" outlineLevel="0" collapsed="false">
      <c r="A99" s="2" t="n">
        <v>98</v>
      </c>
      <c r="B99" s="2" t="s">
        <v>1133</v>
      </c>
      <c r="C99" s="2" t="s">
        <v>1076</v>
      </c>
      <c r="D99" s="2"/>
      <c r="E99" s="2" t="s">
        <v>56</v>
      </c>
      <c r="F99" s="2" t="s">
        <v>30</v>
      </c>
      <c r="G99" s="2" t="s">
        <v>30</v>
      </c>
      <c r="H99" s="2" t="s">
        <v>30</v>
      </c>
      <c r="I99" s="2" t="s">
        <v>1112</v>
      </c>
      <c r="J99" s="2" t="s">
        <v>1134</v>
      </c>
      <c r="K99" s="2" t="s">
        <v>1135</v>
      </c>
      <c r="L99" s="2" t="s">
        <v>355</v>
      </c>
      <c r="M99" s="2" t="s">
        <v>153</v>
      </c>
      <c r="N99" s="3" t="s">
        <v>1136</v>
      </c>
      <c r="O99" s="3" t="s">
        <v>36</v>
      </c>
      <c r="P99" s="2" t="s">
        <v>182</v>
      </c>
      <c r="Q99" s="2" t="s">
        <v>1083</v>
      </c>
      <c r="R99" s="3" t="s">
        <v>1137</v>
      </c>
      <c r="S99" s="3" t="s">
        <v>1138</v>
      </c>
      <c r="T99" s="3" t="s">
        <v>1139</v>
      </c>
      <c r="U99" s="3" t="s">
        <v>1140</v>
      </c>
      <c r="V99" s="3" t="s">
        <v>1141</v>
      </c>
      <c r="W99" s="3" t="s">
        <v>1142</v>
      </c>
      <c r="X99" s="2"/>
      <c r="Y99" s="2" t="s">
        <v>1142</v>
      </c>
      <c r="Z99" s="3"/>
      <c r="AA99" s="2" t="s">
        <v>1143</v>
      </c>
    </row>
    <row r="100" customFormat="false" ht="75" hidden="false" customHeight="true" outlineLevel="0" collapsed="false">
      <c r="A100" s="2" t="n">
        <v>99</v>
      </c>
      <c r="B100" s="2" t="s">
        <v>1144</v>
      </c>
      <c r="C100" s="2"/>
      <c r="D100" s="2" t="s">
        <v>87</v>
      </c>
      <c r="E100" s="2" t="s">
        <v>56</v>
      </c>
      <c r="F100" s="2" t="s">
        <v>30</v>
      </c>
      <c r="G100" s="2" t="s">
        <v>30</v>
      </c>
      <c r="H100" s="2" t="s">
        <v>30</v>
      </c>
      <c r="I100" s="2" t="s">
        <v>1145</v>
      </c>
      <c r="J100" s="2" t="s">
        <v>1145</v>
      </c>
      <c r="K100" s="2" t="s">
        <v>90</v>
      </c>
      <c r="L100" s="2" t="s">
        <v>33</v>
      </c>
      <c r="M100" s="2" t="s">
        <v>91</v>
      </c>
      <c r="N100" s="3" t="s">
        <v>1146</v>
      </c>
      <c r="O100" s="3" t="s">
        <v>36</v>
      </c>
      <c r="P100" s="2"/>
      <c r="Q100" s="2" t="s">
        <v>29</v>
      </c>
      <c r="R100" s="3" t="s">
        <v>1147</v>
      </c>
      <c r="S100" s="3" t="s">
        <v>1148</v>
      </c>
      <c r="T100" s="3" t="s">
        <v>1149</v>
      </c>
      <c r="U100" s="3" t="s">
        <v>1150</v>
      </c>
      <c r="V100" s="3" t="s">
        <v>1151</v>
      </c>
      <c r="W100" s="3" t="s">
        <v>1152</v>
      </c>
      <c r="X100" s="2"/>
      <c r="Y100" s="2" t="s">
        <v>1152</v>
      </c>
      <c r="Z100" s="3" t="s">
        <v>1153</v>
      </c>
      <c r="AA100" s="2" t="s">
        <v>1154</v>
      </c>
    </row>
    <row r="101" customFormat="false" ht="75" hidden="false" customHeight="true" outlineLevel="0" collapsed="false">
      <c r="A101" s="2" t="n">
        <v>100</v>
      </c>
      <c r="B101" s="2" t="s">
        <v>1155</v>
      </c>
      <c r="C101" s="2" t="s">
        <v>1076</v>
      </c>
      <c r="D101" s="2"/>
      <c r="E101" s="2" t="s">
        <v>56</v>
      </c>
      <c r="F101" s="2" t="s">
        <v>57</v>
      </c>
      <c r="G101" s="2" t="s">
        <v>30</v>
      </c>
      <c r="H101" s="2" t="s">
        <v>30</v>
      </c>
      <c r="I101" s="2" t="s">
        <v>1156</v>
      </c>
      <c r="J101" s="2" t="s">
        <v>1157</v>
      </c>
      <c r="K101" s="2" t="s">
        <v>1158</v>
      </c>
      <c r="L101" s="2" t="s">
        <v>727</v>
      </c>
      <c r="M101" s="2" t="s">
        <v>153</v>
      </c>
      <c r="N101" s="3" t="s">
        <v>1159</v>
      </c>
      <c r="O101" s="3" t="s">
        <v>357</v>
      </c>
      <c r="P101" s="2" t="s">
        <v>1160</v>
      </c>
      <c r="Q101" s="2" t="s">
        <v>1083</v>
      </c>
      <c r="R101" s="3" t="s">
        <v>1161</v>
      </c>
      <c r="S101" s="3" t="s">
        <v>1162</v>
      </c>
      <c r="T101" s="3" t="s">
        <v>1163</v>
      </c>
      <c r="U101" s="3" t="s">
        <v>1164</v>
      </c>
      <c r="V101" s="3" t="s">
        <v>1165</v>
      </c>
      <c r="W101" s="3" t="s">
        <v>1166</v>
      </c>
      <c r="X101" s="2"/>
      <c r="Y101" s="2" t="s">
        <v>1166</v>
      </c>
      <c r="Z101" s="3"/>
      <c r="AA101" s="2" t="s">
        <v>1167</v>
      </c>
    </row>
    <row r="102" customFormat="false" ht="62.25" hidden="false" customHeight="true" outlineLevel="0" collapsed="false">
      <c r="A102" s="2" t="n">
        <v>101</v>
      </c>
      <c r="B102" s="2" t="s">
        <v>1168</v>
      </c>
      <c r="C102" s="2" t="s">
        <v>1076</v>
      </c>
      <c r="D102" s="2"/>
      <c r="E102" s="2" t="s">
        <v>28</v>
      </c>
      <c r="F102" s="2" t="s">
        <v>57</v>
      </c>
      <c r="G102" s="2" t="s">
        <v>30</v>
      </c>
      <c r="H102" s="2" t="s">
        <v>30</v>
      </c>
      <c r="I102" s="2" t="s">
        <v>1169</v>
      </c>
      <c r="J102" s="2" t="s">
        <v>1157</v>
      </c>
      <c r="K102" s="2" t="s">
        <v>165</v>
      </c>
      <c r="L102" s="2" t="s">
        <v>166</v>
      </c>
      <c r="M102" s="2" t="s">
        <v>165</v>
      </c>
      <c r="N102" s="3" t="s">
        <v>1170</v>
      </c>
      <c r="O102" s="3" t="s">
        <v>36</v>
      </c>
      <c r="P102" s="2" t="s">
        <v>1171</v>
      </c>
      <c r="Q102" s="2" t="s">
        <v>1083</v>
      </c>
      <c r="R102" s="3" t="s">
        <v>1172</v>
      </c>
      <c r="S102" s="3" t="s">
        <v>1173</v>
      </c>
      <c r="T102" s="3" t="s">
        <v>1174</v>
      </c>
      <c r="U102" s="3" t="s">
        <v>1175</v>
      </c>
      <c r="V102" s="3" t="s">
        <v>1176</v>
      </c>
      <c r="W102" s="3" t="s">
        <v>1177</v>
      </c>
      <c r="X102" s="2"/>
      <c r="Y102" s="2" t="s">
        <v>1178</v>
      </c>
      <c r="Z102" s="3"/>
      <c r="AA102" s="2" t="s">
        <v>1179</v>
      </c>
    </row>
    <row r="103" customFormat="false" ht="49.5" hidden="false" customHeight="true" outlineLevel="0" collapsed="false">
      <c r="A103" s="2" t="n">
        <v>102</v>
      </c>
      <c r="B103" s="2" t="s">
        <v>1180</v>
      </c>
      <c r="C103" s="2" t="s">
        <v>1076</v>
      </c>
      <c r="D103" s="2"/>
      <c r="E103" s="2" t="s">
        <v>253</v>
      </c>
      <c r="F103" s="2" t="s">
        <v>30</v>
      </c>
      <c r="G103" s="2" t="s">
        <v>30</v>
      </c>
      <c r="H103" s="2" t="s">
        <v>30</v>
      </c>
      <c r="I103" s="2" t="s">
        <v>1181</v>
      </c>
      <c r="J103" s="2" t="s">
        <v>1182</v>
      </c>
      <c r="K103" s="2" t="s">
        <v>1183</v>
      </c>
      <c r="L103" s="2" t="s">
        <v>1184</v>
      </c>
      <c r="M103" s="2" t="s">
        <v>1184</v>
      </c>
      <c r="N103" s="3" t="s">
        <v>1185</v>
      </c>
      <c r="O103" s="3" t="s">
        <v>1113</v>
      </c>
      <c r="P103" s="2"/>
      <c r="Q103" s="2" t="s">
        <v>1083</v>
      </c>
      <c r="R103" s="3" t="s">
        <v>1186</v>
      </c>
      <c r="S103" s="3" t="s">
        <v>1187</v>
      </c>
      <c r="T103" s="3" t="s">
        <v>1188</v>
      </c>
      <c r="U103" s="3" t="s">
        <v>1189</v>
      </c>
      <c r="V103" s="3" t="s">
        <v>1190</v>
      </c>
      <c r="W103" s="3" t="s">
        <v>1119</v>
      </c>
      <c r="X103" s="2"/>
      <c r="Y103" s="2" t="s">
        <v>1191</v>
      </c>
      <c r="Z103" s="3"/>
      <c r="AA103" s="2" t="s">
        <v>1192</v>
      </c>
    </row>
    <row r="104" customFormat="false" ht="75" hidden="false" customHeight="true" outlineLevel="0" collapsed="false">
      <c r="A104" s="2" t="n">
        <v>103</v>
      </c>
      <c r="B104" s="2" t="s">
        <v>1193</v>
      </c>
      <c r="C104" s="2" t="s">
        <v>1076</v>
      </c>
      <c r="D104" s="2"/>
      <c r="E104" s="2" t="s">
        <v>28</v>
      </c>
      <c r="F104" s="2" t="s">
        <v>30</v>
      </c>
      <c r="G104" s="2" t="s">
        <v>30</v>
      </c>
      <c r="H104" s="2" t="s">
        <v>30</v>
      </c>
      <c r="I104" s="2" t="s">
        <v>1194</v>
      </c>
      <c r="J104" s="2" t="s">
        <v>1195</v>
      </c>
      <c r="K104" s="2" t="s">
        <v>165</v>
      </c>
      <c r="L104" s="2" t="s">
        <v>166</v>
      </c>
      <c r="M104" s="2" t="s">
        <v>165</v>
      </c>
      <c r="N104" s="3" t="s">
        <v>167</v>
      </c>
      <c r="O104" s="3" t="s">
        <v>36</v>
      </c>
      <c r="P104" s="2" t="s">
        <v>1196</v>
      </c>
      <c r="Q104" s="2" t="s">
        <v>1083</v>
      </c>
      <c r="R104" s="3" t="s">
        <v>1197</v>
      </c>
      <c r="S104" s="3" t="s">
        <v>1198</v>
      </c>
      <c r="T104" s="3" t="s">
        <v>1199</v>
      </c>
      <c r="U104" s="3" t="s">
        <v>1200</v>
      </c>
      <c r="V104" s="3" t="s">
        <v>1201</v>
      </c>
      <c r="W104" s="3"/>
      <c r="X104" s="2"/>
      <c r="Y104" s="2" t="s">
        <v>1202</v>
      </c>
      <c r="Z104" s="3"/>
      <c r="AA104" s="2" t="s">
        <v>1203</v>
      </c>
    </row>
    <row r="105" customFormat="false" ht="62.25" hidden="false" customHeight="true" outlineLevel="0" collapsed="false">
      <c r="A105" s="2" t="n">
        <v>104</v>
      </c>
      <c r="B105" s="2" t="s">
        <v>1204</v>
      </c>
      <c r="C105" s="2" t="s">
        <v>1076</v>
      </c>
      <c r="D105" s="2"/>
      <c r="E105" s="2" t="s">
        <v>56</v>
      </c>
      <c r="F105" s="2" t="s">
        <v>30</v>
      </c>
      <c r="G105" s="2" t="s">
        <v>30</v>
      </c>
      <c r="H105" s="2" t="s">
        <v>30</v>
      </c>
      <c r="I105" s="2" t="s">
        <v>1205</v>
      </c>
      <c r="J105" s="2" t="s">
        <v>1205</v>
      </c>
      <c r="K105" s="2" t="s">
        <v>90</v>
      </c>
      <c r="L105" s="2" t="s">
        <v>33</v>
      </c>
      <c r="M105" s="2" t="s">
        <v>91</v>
      </c>
      <c r="N105" s="3" t="s">
        <v>92</v>
      </c>
      <c r="O105" s="3" t="s">
        <v>357</v>
      </c>
      <c r="P105" s="2"/>
      <c r="Q105" s="2" t="s">
        <v>1083</v>
      </c>
      <c r="R105" s="3" t="s">
        <v>1206</v>
      </c>
      <c r="S105" s="3" t="s">
        <v>1207</v>
      </c>
      <c r="T105" s="3" t="s">
        <v>1208</v>
      </c>
      <c r="U105" s="3" t="s">
        <v>1209</v>
      </c>
      <c r="V105" s="3" t="s">
        <v>1210</v>
      </c>
      <c r="W105" s="3" t="s">
        <v>1211</v>
      </c>
      <c r="X105" s="2"/>
      <c r="Y105" s="2" t="s">
        <v>1211</v>
      </c>
      <c r="Z105" s="3"/>
      <c r="AA105" s="2" t="s">
        <v>1212</v>
      </c>
    </row>
    <row r="106" customFormat="false" ht="62.25" hidden="false" customHeight="true" outlineLevel="0" collapsed="false">
      <c r="A106" s="2" t="n">
        <v>105</v>
      </c>
      <c r="B106" s="2" t="s">
        <v>1213</v>
      </c>
      <c r="C106" s="2"/>
      <c r="D106" s="2"/>
      <c r="E106" s="2" t="s">
        <v>28</v>
      </c>
      <c r="F106" s="2" t="s">
        <v>30</v>
      </c>
      <c r="G106" s="2" t="s">
        <v>30</v>
      </c>
      <c r="H106" s="2" t="s">
        <v>30</v>
      </c>
      <c r="I106" s="2" t="s">
        <v>1214</v>
      </c>
      <c r="J106" s="2" t="s">
        <v>1215</v>
      </c>
      <c r="K106" s="2" t="s">
        <v>192</v>
      </c>
      <c r="L106" s="2" t="s">
        <v>193</v>
      </c>
      <c r="M106" s="2" t="s">
        <v>194</v>
      </c>
      <c r="N106" s="3" t="s">
        <v>1216</v>
      </c>
      <c r="O106" s="3" t="s">
        <v>36</v>
      </c>
      <c r="P106" s="2" t="s">
        <v>130</v>
      </c>
      <c r="Q106" s="2" t="s">
        <v>29</v>
      </c>
      <c r="R106" s="3" t="s">
        <v>1217</v>
      </c>
      <c r="S106" s="3" t="s">
        <v>1218</v>
      </c>
      <c r="T106" s="3" t="s">
        <v>1219</v>
      </c>
      <c r="U106" s="3" t="s">
        <v>1220</v>
      </c>
      <c r="V106" s="3" t="s">
        <v>1221</v>
      </c>
      <c r="W106" s="3"/>
      <c r="X106" s="2"/>
      <c r="Y106" s="2" t="s">
        <v>1222</v>
      </c>
      <c r="Z106" s="3" t="s">
        <v>1223</v>
      </c>
      <c r="AA106" s="2" t="s">
        <v>1224</v>
      </c>
    </row>
    <row r="107" customFormat="false" ht="87" hidden="false" customHeight="true" outlineLevel="0" collapsed="false">
      <c r="A107" s="2" t="n">
        <v>106</v>
      </c>
      <c r="B107" s="2" t="s">
        <v>1225</v>
      </c>
      <c r="C107" s="2" t="s">
        <v>86</v>
      </c>
      <c r="D107" s="2" t="s">
        <v>87</v>
      </c>
      <c r="E107" s="2" t="s">
        <v>28</v>
      </c>
      <c r="F107" s="2" t="s">
        <v>30</v>
      </c>
      <c r="G107" s="2" t="s">
        <v>30</v>
      </c>
      <c r="H107" s="2" t="s">
        <v>30</v>
      </c>
      <c r="I107" s="2" t="s">
        <v>751</v>
      </c>
      <c r="J107" s="2" t="s">
        <v>1226</v>
      </c>
      <c r="K107" s="2" t="s">
        <v>625</v>
      </c>
      <c r="L107" s="2" t="s">
        <v>625</v>
      </c>
      <c r="M107" s="2" t="s">
        <v>626</v>
      </c>
      <c r="N107" s="3" t="s">
        <v>1227</v>
      </c>
      <c r="O107" s="3" t="s">
        <v>36</v>
      </c>
      <c r="P107" s="2" t="s">
        <v>1228</v>
      </c>
      <c r="Q107" s="2" t="s">
        <v>1083</v>
      </c>
      <c r="R107" s="3" t="s">
        <v>1229</v>
      </c>
      <c r="S107" s="3" t="s">
        <v>1230</v>
      </c>
      <c r="T107" s="3" t="s">
        <v>1231</v>
      </c>
      <c r="U107" s="3" t="s">
        <v>1232</v>
      </c>
      <c r="V107" s="3" t="s">
        <v>1233</v>
      </c>
      <c r="W107" s="3"/>
      <c r="X107" s="2"/>
      <c r="Y107" s="2" t="s">
        <v>1234</v>
      </c>
      <c r="Z107" s="3" t="s">
        <v>1235</v>
      </c>
      <c r="AA107" s="2" t="s">
        <v>1236</v>
      </c>
    </row>
    <row r="108" customFormat="false" ht="62.25" hidden="false" customHeight="true" outlineLevel="0" collapsed="false">
      <c r="A108" s="2" t="n">
        <v>107</v>
      </c>
      <c r="B108" s="2" t="s">
        <v>1237</v>
      </c>
      <c r="C108" s="2"/>
      <c r="D108" s="2"/>
      <c r="E108" s="2" t="s">
        <v>56</v>
      </c>
      <c r="F108" s="2" t="s">
        <v>30</v>
      </c>
      <c r="G108" s="2" t="s">
        <v>30</v>
      </c>
      <c r="H108" s="2" t="s">
        <v>30</v>
      </c>
      <c r="I108" s="2" t="s">
        <v>72</v>
      </c>
      <c r="J108" s="2" t="s">
        <v>73</v>
      </c>
      <c r="K108" s="2" t="s">
        <v>192</v>
      </c>
      <c r="L108" s="2" t="s">
        <v>193</v>
      </c>
      <c r="M108" s="2" t="s">
        <v>194</v>
      </c>
      <c r="N108" s="3" t="s">
        <v>195</v>
      </c>
      <c r="O108" s="3" t="s">
        <v>36</v>
      </c>
      <c r="P108" s="2"/>
      <c r="Q108" s="2" t="s">
        <v>29</v>
      </c>
      <c r="R108" s="3" t="s">
        <v>1238</v>
      </c>
      <c r="S108" s="3" t="s">
        <v>1239</v>
      </c>
      <c r="T108" s="3" t="s">
        <v>1240</v>
      </c>
      <c r="U108" s="3" t="s">
        <v>1241</v>
      </c>
      <c r="V108" s="3" t="s">
        <v>1242</v>
      </c>
      <c r="W108" s="3" t="s">
        <v>1243</v>
      </c>
      <c r="X108" s="2"/>
      <c r="Y108" s="2" t="s">
        <v>1244</v>
      </c>
      <c r="Z108" s="3"/>
      <c r="AA108" s="2" t="s">
        <v>1245</v>
      </c>
    </row>
    <row r="109" customFormat="false" ht="75" hidden="false" customHeight="true" outlineLevel="0" collapsed="false">
      <c r="A109" s="2" t="n">
        <v>108</v>
      </c>
      <c r="B109" s="2" t="s">
        <v>1246</v>
      </c>
      <c r="C109" s="2"/>
      <c r="D109" s="2"/>
      <c r="E109" s="2" t="s">
        <v>28</v>
      </c>
      <c r="F109" s="2" t="s">
        <v>30</v>
      </c>
      <c r="G109" s="2" t="s">
        <v>30</v>
      </c>
      <c r="H109" s="2" t="s">
        <v>30</v>
      </c>
      <c r="I109" s="2" t="s">
        <v>1247</v>
      </c>
      <c r="J109" s="2" t="s">
        <v>1247</v>
      </c>
      <c r="K109" s="2" t="s">
        <v>779</v>
      </c>
      <c r="L109" s="2" t="s">
        <v>780</v>
      </c>
      <c r="M109" s="2" t="s">
        <v>194</v>
      </c>
      <c r="N109" s="3" t="s">
        <v>1248</v>
      </c>
      <c r="O109" s="3" t="s">
        <v>36</v>
      </c>
      <c r="P109" s="2"/>
      <c r="Q109" s="2" t="s">
        <v>29</v>
      </c>
      <c r="R109" s="3" t="s">
        <v>1249</v>
      </c>
      <c r="S109" s="3" t="s">
        <v>1250</v>
      </c>
      <c r="T109" s="3" t="s">
        <v>1251</v>
      </c>
      <c r="U109" s="3" t="s">
        <v>1252</v>
      </c>
      <c r="V109" s="3" t="s">
        <v>1253</v>
      </c>
      <c r="W109" s="3" t="s">
        <v>1254</v>
      </c>
      <c r="X109" s="2"/>
      <c r="Y109" s="2" t="s">
        <v>1255</v>
      </c>
      <c r="Z109" s="3"/>
      <c r="AA109" s="2" t="s">
        <v>1256</v>
      </c>
    </row>
    <row r="110" customFormat="false" ht="75" hidden="false" customHeight="true" outlineLevel="0" collapsed="false">
      <c r="A110" s="2" t="n">
        <v>109</v>
      </c>
      <c r="B110" s="2" t="s">
        <v>1257</v>
      </c>
      <c r="C110" s="2" t="s">
        <v>86</v>
      </c>
      <c r="D110" s="2"/>
      <c r="E110" s="2" t="s">
        <v>56</v>
      </c>
      <c r="F110" s="2" t="s">
        <v>57</v>
      </c>
      <c r="G110" s="2" t="s">
        <v>30</v>
      </c>
      <c r="H110" s="2" t="s">
        <v>30</v>
      </c>
      <c r="I110" s="2" t="s">
        <v>1258</v>
      </c>
      <c r="J110" s="2" t="s">
        <v>1258</v>
      </c>
      <c r="K110" s="2" t="s">
        <v>952</v>
      </c>
      <c r="L110" s="2" t="s">
        <v>193</v>
      </c>
      <c r="M110" s="2" t="s">
        <v>194</v>
      </c>
      <c r="N110" s="3" t="s">
        <v>1259</v>
      </c>
      <c r="O110" s="3" t="s">
        <v>36</v>
      </c>
      <c r="P110" s="2" t="s">
        <v>506</v>
      </c>
      <c r="Q110" s="2" t="s">
        <v>29</v>
      </c>
      <c r="R110" s="3" t="s">
        <v>1260</v>
      </c>
      <c r="S110" s="3" t="s">
        <v>1261</v>
      </c>
      <c r="T110" s="3" t="s">
        <v>1262</v>
      </c>
      <c r="U110" s="3" t="s">
        <v>1263</v>
      </c>
      <c r="V110" s="3" t="s">
        <v>1264</v>
      </c>
      <c r="W110" s="3"/>
      <c r="X110" s="2"/>
      <c r="Y110" s="2" t="s">
        <v>1265</v>
      </c>
      <c r="Z110" s="3" t="s">
        <v>1266</v>
      </c>
      <c r="AA110" s="2" t="s">
        <v>1267</v>
      </c>
    </row>
    <row r="111" customFormat="false" ht="87" hidden="false" customHeight="true" outlineLevel="0" collapsed="false">
      <c r="A111" s="2" t="n">
        <v>110</v>
      </c>
      <c r="B111" s="2" t="s">
        <v>1268</v>
      </c>
      <c r="C111" s="2"/>
      <c r="D111" s="2"/>
      <c r="E111" s="2" t="s">
        <v>28</v>
      </c>
      <c r="F111" s="2" t="s">
        <v>30</v>
      </c>
      <c r="G111" s="2" t="s">
        <v>30</v>
      </c>
      <c r="H111" s="2" t="s">
        <v>30</v>
      </c>
      <c r="I111" s="2" t="s">
        <v>292</v>
      </c>
      <c r="J111" s="2" t="s">
        <v>1269</v>
      </c>
      <c r="K111" s="2" t="s">
        <v>165</v>
      </c>
      <c r="L111" s="2" t="s">
        <v>166</v>
      </c>
      <c r="M111" s="2" t="s">
        <v>165</v>
      </c>
      <c r="N111" s="3" t="s">
        <v>1270</v>
      </c>
      <c r="O111" s="3" t="s">
        <v>36</v>
      </c>
      <c r="P111" s="2"/>
      <c r="Q111" s="2" t="s">
        <v>29</v>
      </c>
      <c r="R111" s="3" t="s">
        <v>1271</v>
      </c>
      <c r="S111" s="3" t="s">
        <v>1272</v>
      </c>
      <c r="T111" s="3" t="s">
        <v>1273</v>
      </c>
      <c r="U111" s="3" t="s">
        <v>1274</v>
      </c>
      <c r="V111" s="3" t="s">
        <v>1275</v>
      </c>
      <c r="W111" s="3" t="s">
        <v>1276</v>
      </c>
      <c r="X111" s="2"/>
      <c r="Y111" s="2" t="s">
        <v>1276</v>
      </c>
      <c r="Z111" s="3"/>
      <c r="AA111" s="2" t="s">
        <v>1277</v>
      </c>
    </row>
    <row r="112" customFormat="false" ht="62.25" hidden="false" customHeight="true" outlineLevel="0" collapsed="false">
      <c r="A112" s="2" t="n">
        <v>111</v>
      </c>
      <c r="B112" s="2" t="s">
        <v>1278</v>
      </c>
      <c r="C112" s="2"/>
      <c r="D112" s="2"/>
      <c r="E112" s="2" t="s">
        <v>28</v>
      </c>
      <c r="F112" s="2" t="s">
        <v>30</v>
      </c>
      <c r="G112" s="2" t="s">
        <v>30</v>
      </c>
      <c r="H112" s="2" t="s">
        <v>30</v>
      </c>
      <c r="I112" s="2" t="s">
        <v>1279</v>
      </c>
      <c r="J112" s="2" t="s">
        <v>1280</v>
      </c>
      <c r="K112" s="2" t="s">
        <v>695</v>
      </c>
      <c r="L112" s="2" t="s">
        <v>696</v>
      </c>
      <c r="M112" s="2" t="s">
        <v>153</v>
      </c>
      <c r="N112" s="3" t="s">
        <v>697</v>
      </c>
      <c r="O112" s="3" t="s">
        <v>36</v>
      </c>
      <c r="P112" s="2"/>
      <c r="Q112" s="2" t="s">
        <v>29</v>
      </c>
      <c r="R112" s="3" t="s">
        <v>1281</v>
      </c>
      <c r="S112" s="3" t="s">
        <v>1282</v>
      </c>
      <c r="T112" s="3" t="s">
        <v>1283</v>
      </c>
      <c r="U112" s="3" t="s">
        <v>1284</v>
      </c>
      <c r="V112" s="3" t="s">
        <v>1285</v>
      </c>
      <c r="W112" s="3" t="s">
        <v>760</v>
      </c>
      <c r="X112" s="2"/>
      <c r="Y112" s="2" t="s">
        <v>1286</v>
      </c>
      <c r="Z112" s="3"/>
      <c r="AA112" s="2" t="s">
        <v>1287</v>
      </c>
    </row>
    <row r="113" customFormat="false" ht="75" hidden="false" customHeight="true" outlineLevel="0" collapsed="false">
      <c r="A113" s="2" t="n">
        <v>112</v>
      </c>
      <c r="B113" s="2" t="s">
        <v>1288</v>
      </c>
      <c r="C113" s="2"/>
      <c r="D113" s="2"/>
      <c r="E113" s="2" t="s">
        <v>56</v>
      </c>
      <c r="F113" s="2" t="s">
        <v>30</v>
      </c>
      <c r="G113" s="2" t="s">
        <v>30</v>
      </c>
      <c r="H113" s="2" t="s">
        <v>30</v>
      </c>
      <c r="I113" s="2" t="s">
        <v>1289</v>
      </c>
      <c r="J113" s="2" t="s">
        <v>1289</v>
      </c>
      <c r="K113" s="2" t="s">
        <v>1079</v>
      </c>
      <c r="L113" s="2" t="s">
        <v>1080</v>
      </c>
      <c r="M113" s="2" t="s">
        <v>194</v>
      </c>
      <c r="N113" s="3" t="s">
        <v>1290</v>
      </c>
      <c r="O113" s="3" t="s">
        <v>36</v>
      </c>
      <c r="P113" s="2"/>
      <c r="Q113" s="2" t="s">
        <v>29</v>
      </c>
      <c r="R113" s="3" t="s">
        <v>1291</v>
      </c>
      <c r="S113" s="3" t="s">
        <v>1292</v>
      </c>
      <c r="T113" s="3" t="s">
        <v>1293</v>
      </c>
      <c r="U113" s="3" t="s">
        <v>1294</v>
      </c>
      <c r="V113" s="3" t="s">
        <v>1264</v>
      </c>
      <c r="W113" s="3" t="s">
        <v>1295</v>
      </c>
      <c r="X113" s="2"/>
      <c r="Y113" s="2" t="s">
        <v>1296</v>
      </c>
      <c r="Z113" s="3"/>
      <c r="AA113" s="2" t="s">
        <v>1297</v>
      </c>
    </row>
    <row r="114" customFormat="false" ht="62.25" hidden="false" customHeight="true" outlineLevel="0" collapsed="false">
      <c r="A114" s="2" t="n">
        <v>113</v>
      </c>
      <c r="B114" s="2" t="s">
        <v>1298</v>
      </c>
      <c r="C114" s="2"/>
      <c r="D114" s="2"/>
      <c r="E114" s="2" t="s">
        <v>56</v>
      </c>
      <c r="F114" s="2" t="s">
        <v>30</v>
      </c>
      <c r="G114" s="2" t="s">
        <v>30</v>
      </c>
      <c r="H114" s="2" t="s">
        <v>30</v>
      </c>
      <c r="I114" s="2" t="s">
        <v>1299</v>
      </c>
      <c r="J114" s="2" t="s">
        <v>1300</v>
      </c>
      <c r="K114" s="2" t="s">
        <v>1301</v>
      </c>
      <c r="L114" s="2" t="s">
        <v>1302</v>
      </c>
      <c r="M114" s="2" t="s">
        <v>153</v>
      </c>
      <c r="N114" s="3" t="s">
        <v>1303</v>
      </c>
      <c r="O114" s="3" t="s">
        <v>1113</v>
      </c>
      <c r="P114" s="2"/>
      <c r="Q114" s="2" t="s">
        <v>29</v>
      </c>
      <c r="R114" s="3" t="s">
        <v>1304</v>
      </c>
      <c r="S114" s="3" t="s">
        <v>1305</v>
      </c>
      <c r="T114" s="3" t="s">
        <v>1306</v>
      </c>
      <c r="U114" s="3" t="s">
        <v>1307</v>
      </c>
      <c r="V114" s="3" t="s">
        <v>1308</v>
      </c>
      <c r="W114" s="3" t="s">
        <v>1309</v>
      </c>
      <c r="X114" s="2"/>
      <c r="Y114" s="2" t="s">
        <v>1310</v>
      </c>
      <c r="Z114" s="3"/>
      <c r="AA114" s="2" t="s">
        <v>1311</v>
      </c>
    </row>
    <row r="115" customFormat="false" ht="62.25" hidden="false" customHeight="true" outlineLevel="0" collapsed="false">
      <c r="A115" s="2" t="n">
        <v>114</v>
      </c>
      <c r="B115" s="2" t="s">
        <v>1312</v>
      </c>
      <c r="C115" s="2"/>
      <c r="D115" s="2"/>
      <c r="E115" s="2" t="s">
        <v>28</v>
      </c>
      <c r="F115" s="2" t="s">
        <v>30</v>
      </c>
      <c r="G115" s="2" t="s">
        <v>30</v>
      </c>
      <c r="H115" s="2" t="s">
        <v>30</v>
      </c>
      <c r="I115" s="2" t="s">
        <v>1313</v>
      </c>
      <c r="J115" s="2" t="s">
        <v>1314</v>
      </c>
      <c r="K115" s="2" t="s">
        <v>1183</v>
      </c>
      <c r="L115" s="2" t="s">
        <v>1184</v>
      </c>
      <c r="M115" s="2" t="s">
        <v>1184</v>
      </c>
      <c r="N115" s="3" t="s">
        <v>1315</v>
      </c>
      <c r="O115" s="3" t="s">
        <v>36</v>
      </c>
      <c r="P115" s="2"/>
      <c r="Q115" s="2" t="s">
        <v>29</v>
      </c>
      <c r="R115" s="3" t="s">
        <v>1316</v>
      </c>
      <c r="S115" s="3" t="s">
        <v>1317</v>
      </c>
      <c r="T115" s="3" t="s">
        <v>1318</v>
      </c>
      <c r="U115" s="3" t="s">
        <v>1319</v>
      </c>
      <c r="V115" s="3" t="s">
        <v>1320</v>
      </c>
      <c r="W115" s="3" t="s">
        <v>1321</v>
      </c>
      <c r="X115" s="2"/>
      <c r="Y115" s="2" t="s">
        <v>1322</v>
      </c>
      <c r="Z115" s="3"/>
      <c r="AA115" s="2" t="s">
        <v>1323</v>
      </c>
    </row>
    <row r="116" customFormat="false" ht="62.25" hidden="false" customHeight="true" outlineLevel="0" collapsed="false">
      <c r="A116" s="2" t="n">
        <v>115</v>
      </c>
      <c r="B116" s="2" t="s">
        <v>1324</v>
      </c>
      <c r="C116" s="2"/>
      <c r="D116" s="2"/>
      <c r="E116" s="2" t="s">
        <v>28</v>
      </c>
      <c r="F116" s="2" t="s">
        <v>30</v>
      </c>
      <c r="G116" s="2" t="s">
        <v>30</v>
      </c>
      <c r="H116" s="2" t="s">
        <v>30</v>
      </c>
      <c r="I116" s="2" t="s">
        <v>1313</v>
      </c>
      <c r="J116" s="2" t="s">
        <v>1314</v>
      </c>
      <c r="K116" s="2" t="s">
        <v>1183</v>
      </c>
      <c r="L116" s="2" t="s">
        <v>1184</v>
      </c>
      <c r="M116" s="2" t="s">
        <v>1184</v>
      </c>
      <c r="N116" s="3" t="s">
        <v>1315</v>
      </c>
      <c r="O116" s="3" t="s">
        <v>36</v>
      </c>
      <c r="P116" s="2"/>
      <c r="Q116" s="2" t="s">
        <v>29</v>
      </c>
      <c r="R116" s="3" t="s">
        <v>1325</v>
      </c>
      <c r="S116" s="3" t="s">
        <v>1326</v>
      </c>
      <c r="T116" s="3" t="s">
        <v>1327</v>
      </c>
      <c r="U116" s="3" t="s">
        <v>1328</v>
      </c>
      <c r="V116" s="3" t="s">
        <v>1329</v>
      </c>
      <c r="W116" s="3" t="s">
        <v>1330</v>
      </c>
      <c r="X116" s="2"/>
      <c r="Y116" s="2" t="s">
        <v>1331</v>
      </c>
      <c r="Z116" s="3"/>
      <c r="AA116" s="2" t="s">
        <v>1332</v>
      </c>
    </row>
    <row r="117" customFormat="false" ht="62.25" hidden="false" customHeight="true" outlineLevel="0" collapsed="false">
      <c r="A117" s="2" t="n">
        <v>116</v>
      </c>
      <c r="B117" s="2" t="s">
        <v>1333</v>
      </c>
      <c r="C117" s="2"/>
      <c r="D117" s="2"/>
      <c r="E117" s="2" t="s">
        <v>28</v>
      </c>
      <c r="F117" s="2" t="s">
        <v>30</v>
      </c>
      <c r="G117" s="2" t="s">
        <v>30</v>
      </c>
      <c r="H117" s="2" t="s">
        <v>57</v>
      </c>
      <c r="I117" s="2" t="s">
        <v>1334</v>
      </c>
      <c r="J117" s="2" t="s">
        <v>1335</v>
      </c>
      <c r="K117" s="2" t="s">
        <v>1336</v>
      </c>
      <c r="L117" s="2" t="s">
        <v>1337</v>
      </c>
      <c r="M117" s="2" t="s">
        <v>153</v>
      </c>
      <c r="N117" s="3" t="s">
        <v>1338</v>
      </c>
      <c r="O117" s="3" t="s">
        <v>36</v>
      </c>
      <c r="P117" s="2" t="s">
        <v>1339</v>
      </c>
      <c r="Q117" s="2" t="s">
        <v>29</v>
      </c>
      <c r="R117" s="3" t="s">
        <v>1340</v>
      </c>
      <c r="S117" s="3" t="s">
        <v>1341</v>
      </c>
      <c r="T117" s="3" t="s">
        <v>1342</v>
      </c>
      <c r="U117" s="3" t="s">
        <v>1343</v>
      </c>
      <c r="V117" s="3" t="s">
        <v>1088</v>
      </c>
      <c r="W117" s="3"/>
      <c r="X117" s="2"/>
      <c r="Y117" s="2" t="s">
        <v>1344</v>
      </c>
      <c r="Z117" s="3"/>
      <c r="AA117" s="2" t="s">
        <v>1345</v>
      </c>
    </row>
    <row r="118" customFormat="false" ht="62.25" hidden="false" customHeight="true" outlineLevel="0" collapsed="false">
      <c r="A118" s="2" t="n">
        <v>117</v>
      </c>
      <c r="B118" s="2" t="s">
        <v>1346</v>
      </c>
      <c r="C118" s="2"/>
      <c r="D118" s="2"/>
      <c r="E118" s="2" t="s">
        <v>28</v>
      </c>
      <c r="F118" s="2" t="s">
        <v>30</v>
      </c>
      <c r="G118" s="2" t="s">
        <v>30</v>
      </c>
      <c r="H118" s="2" t="s">
        <v>30</v>
      </c>
      <c r="I118" s="2" t="s">
        <v>1347</v>
      </c>
      <c r="J118" s="2" t="s">
        <v>1348</v>
      </c>
      <c r="K118" s="2" t="s">
        <v>90</v>
      </c>
      <c r="L118" s="2" t="s">
        <v>33</v>
      </c>
      <c r="M118" s="2" t="s">
        <v>91</v>
      </c>
      <c r="N118" s="3" t="s">
        <v>1349</v>
      </c>
      <c r="O118" s="3" t="s">
        <v>36</v>
      </c>
      <c r="P118" s="2"/>
      <c r="Q118" s="2" t="s">
        <v>29</v>
      </c>
      <c r="R118" s="3" t="s">
        <v>1350</v>
      </c>
      <c r="S118" s="3" t="s">
        <v>1351</v>
      </c>
      <c r="T118" s="3" t="s">
        <v>1352</v>
      </c>
      <c r="U118" s="3" t="s">
        <v>1353</v>
      </c>
      <c r="V118" s="3" t="s">
        <v>1354</v>
      </c>
      <c r="W118" s="3" t="s">
        <v>1355</v>
      </c>
      <c r="X118" s="2"/>
      <c r="Y118" s="2" t="s">
        <v>1355</v>
      </c>
      <c r="Z118" s="3"/>
      <c r="AA118" s="2" t="s">
        <v>1356</v>
      </c>
    </row>
    <row r="119" customFormat="false" ht="75" hidden="false" customHeight="true" outlineLevel="0" collapsed="false">
      <c r="A119" s="2" t="n">
        <v>118</v>
      </c>
      <c r="B119" s="2" t="s">
        <v>1357</v>
      </c>
      <c r="C119" s="2" t="s">
        <v>1076</v>
      </c>
      <c r="D119" s="2"/>
      <c r="E119" s="2" t="s">
        <v>56</v>
      </c>
      <c r="F119" s="2" t="s">
        <v>30</v>
      </c>
      <c r="G119" s="2" t="s">
        <v>30</v>
      </c>
      <c r="H119" s="2" t="s">
        <v>30</v>
      </c>
      <c r="I119" s="2" t="s">
        <v>463</v>
      </c>
      <c r="J119" s="2" t="s">
        <v>1014</v>
      </c>
      <c r="K119" s="2" t="s">
        <v>625</v>
      </c>
      <c r="L119" s="2" t="s">
        <v>625</v>
      </c>
      <c r="M119" s="2" t="s">
        <v>626</v>
      </c>
      <c r="N119" s="3" t="s">
        <v>1015</v>
      </c>
      <c r="O119" s="3" t="s">
        <v>36</v>
      </c>
      <c r="P119" s="2"/>
      <c r="Q119" s="2" t="s">
        <v>1083</v>
      </c>
      <c r="R119" s="3" t="s">
        <v>1358</v>
      </c>
      <c r="S119" s="3" t="s">
        <v>1359</v>
      </c>
      <c r="T119" s="3" t="s">
        <v>1360</v>
      </c>
      <c r="U119" s="3" t="s">
        <v>1361</v>
      </c>
      <c r="V119" s="3" t="s">
        <v>1362</v>
      </c>
      <c r="W119" s="3" t="s">
        <v>1363</v>
      </c>
      <c r="X119" s="2"/>
      <c r="Y119" s="2" t="s">
        <v>1363</v>
      </c>
      <c r="Z119" s="3"/>
      <c r="AA119" s="2" t="s">
        <v>1364</v>
      </c>
    </row>
    <row r="120" customFormat="false" ht="62.25" hidden="false" customHeight="true" outlineLevel="0" collapsed="false">
      <c r="A120" s="2" t="n">
        <v>119</v>
      </c>
      <c r="B120" s="2" t="s">
        <v>1365</v>
      </c>
      <c r="C120" s="2"/>
      <c r="D120" s="2"/>
      <c r="E120" s="2" t="s">
        <v>56</v>
      </c>
      <c r="F120" s="2" t="s">
        <v>30</v>
      </c>
      <c r="G120" s="2" t="s">
        <v>30</v>
      </c>
      <c r="H120" s="2" t="s">
        <v>30</v>
      </c>
      <c r="I120" s="2" t="s">
        <v>1366</v>
      </c>
      <c r="J120" s="2"/>
      <c r="K120" s="2" t="s">
        <v>1367</v>
      </c>
      <c r="L120" s="2" t="s">
        <v>33</v>
      </c>
      <c r="M120" s="2" t="s">
        <v>1368</v>
      </c>
      <c r="N120" s="3" t="s">
        <v>1369</v>
      </c>
      <c r="O120" s="3" t="s">
        <v>1368</v>
      </c>
      <c r="P120" s="2"/>
      <c r="Q120" s="2" t="s">
        <v>1366</v>
      </c>
      <c r="R120" s="3" t="s">
        <v>1370</v>
      </c>
      <c r="S120" s="3" t="s">
        <v>1371</v>
      </c>
      <c r="T120" s="3" t="s">
        <v>1372</v>
      </c>
      <c r="U120" s="3" t="s">
        <v>1373</v>
      </c>
      <c r="V120" s="3" t="s">
        <v>1374</v>
      </c>
      <c r="W120" s="3" t="s">
        <v>1375</v>
      </c>
      <c r="X120" s="2"/>
      <c r="Y120" s="2"/>
      <c r="Z120" s="3"/>
      <c r="AA120" s="2" t="s">
        <v>1376</v>
      </c>
    </row>
    <row r="121" customFormat="false" ht="229.5" hidden="false" customHeight="true" outlineLevel="0" collapsed="false">
      <c r="A121" s="2" t="n">
        <v>120</v>
      </c>
      <c r="B121" s="2" t="s">
        <v>1377</v>
      </c>
      <c r="C121" s="2" t="s">
        <v>86</v>
      </c>
      <c r="D121" s="2" t="s">
        <v>1378</v>
      </c>
      <c r="E121" s="2" t="s">
        <v>56</v>
      </c>
      <c r="F121" s="2" t="s">
        <v>177</v>
      </c>
      <c r="G121" s="2" t="s">
        <v>30</v>
      </c>
      <c r="H121" s="2" t="s">
        <v>30</v>
      </c>
      <c r="I121" s="2" t="s">
        <v>1366</v>
      </c>
      <c r="J121" s="2"/>
      <c r="K121" s="2" t="s">
        <v>1379</v>
      </c>
      <c r="L121" s="2" t="s">
        <v>33</v>
      </c>
      <c r="M121" s="2" t="s">
        <v>1379</v>
      </c>
      <c r="N121" s="3" t="s">
        <v>1380</v>
      </c>
      <c r="O121" s="3" t="s">
        <v>1381</v>
      </c>
      <c r="P121" s="2"/>
      <c r="Q121" s="2" t="s">
        <v>1382</v>
      </c>
      <c r="R121" s="3" t="s">
        <v>1383</v>
      </c>
      <c r="S121" s="3" t="s">
        <v>1384</v>
      </c>
      <c r="T121" s="3" t="s">
        <v>1385</v>
      </c>
      <c r="U121" s="3" t="s">
        <v>1386</v>
      </c>
      <c r="V121" s="3" t="s">
        <v>1387</v>
      </c>
      <c r="W121" s="3"/>
      <c r="X121" s="2"/>
      <c r="Y121" s="2" t="s">
        <v>1388</v>
      </c>
      <c r="Z121" s="3" t="s">
        <v>1389</v>
      </c>
      <c r="AA121" s="2" t="s">
        <v>1390</v>
      </c>
    </row>
    <row r="122" customFormat="false" ht="49.5" hidden="false" customHeight="true" outlineLevel="0" collapsed="false">
      <c r="A122" s="2" t="n">
        <v>121</v>
      </c>
      <c r="B122" s="2" t="s">
        <v>1391</v>
      </c>
      <c r="C122" s="2" t="s">
        <v>1076</v>
      </c>
      <c r="D122" s="2"/>
      <c r="E122" s="2" t="s">
        <v>253</v>
      </c>
      <c r="F122" s="2" t="s">
        <v>29</v>
      </c>
      <c r="G122" s="2" t="s">
        <v>30</v>
      </c>
      <c r="H122" s="2" t="s">
        <v>30</v>
      </c>
      <c r="I122" s="2" t="s">
        <v>1392</v>
      </c>
      <c r="J122" s="2" t="s">
        <v>1393</v>
      </c>
      <c r="K122" s="2" t="s">
        <v>1394</v>
      </c>
      <c r="L122" s="2" t="s">
        <v>1394</v>
      </c>
      <c r="M122" s="2" t="s">
        <v>194</v>
      </c>
      <c r="N122" s="3" t="s">
        <v>1394</v>
      </c>
      <c r="O122" s="3" t="s">
        <v>36</v>
      </c>
      <c r="P122" s="2"/>
      <c r="Q122" s="2" t="s">
        <v>1083</v>
      </c>
      <c r="R122" s="3" t="s">
        <v>1395</v>
      </c>
      <c r="S122" s="3" t="s">
        <v>1396</v>
      </c>
      <c r="T122" s="3" t="s">
        <v>1397</v>
      </c>
      <c r="U122" s="3" t="s">
        <v>1398</v>
      </c>
      <c r="V122" s="3" t="s">
        <v>1399</v>
      </c>
      <c r="W122" s="3"/>
      <c r="X122" s="2"/>
      <c r="Y122" s="2"/>
      <c r="Z122" s="3"/>
      <c r="AA122" s="2" t="s">
        <v>1400</v>
      </c>
    </row>
    <row r="123" customFormat="false" ht="62.25" hidden="false" customHeight="true" outlineLevel="0" collapsed="false">
      <c r="A123" s="2" t="n">
        <v>122</v>
      </c>
      <c r="B123" s="2" t="s">
        <v>1401</v>
      </c>
      <c r="C123" s="2" t="s">
        <v>1402</v>
      </c>
      <c r="D123" s="2"/>
      <c r="E123" s="2" t="s">
        <v>56</v>
      </c>
      <c r="F123" s="2" t="s">
        <v>30</v>
      </c>
      <c r="G123" s="2" t="s">
        <v>30</v>
      </c>
      <c r="H123" s="2" t="s">
        <v>30</v>
      </c>
      <c r="I123" s="2" t="s">
        <v>1134</v>
      </c>
      <c r="J123" s="2"/>
      <c r="K123" s="2" t="s">
        <v>1367</v>
      </c>
      <c r="L123" s="2" t="s">
        <v>33</v>
      </c>
      <c r="M123" s="2" t="s">
        <v>1403</v>
      </c>
      <c r="N123" s="3" t="s">
        <v>1404</v>
      </c>
      <c r="O123" s="3" t="s">
        <v>1082</v>
      </c>
      <c r="P123" s="2"/>
      <c r="Q123" s="2" t="s">
        <v>1405</v>
      </c>
      <c r="R123" s="3" t="s">
        <v>1406</v>
      </c>
      <c r="S123" s="3" t="s">
        <v>1407</v>
      </c>
      <c r="T123" s="3" t="s">
        <v>1408</v>
      </c>
      <c r="U123" s="3" t="s">
        <v>1409</v>
      </c>
      <c r="V123" s="3" t="s">
        <v>1410</v>
      </c>
      <c r="W123" s="3" t="s">
        <v>1411</v>
      </c>
      <c r="X123" s="2"/>
      <c r="Y123" s="2"/>
      <c r="Z123" s="3"/>
      <c r="AA123" s="2" t="s">
        <v>1412</v>
      </c>
    </row>
    <row r="124" customFormat="false" ht="62.25" hidden="false" customHeight="true" outlineLevel="0" collapsed="false">
      <c r="A124" s="2" t="n">
        <v>123</v>
      </c>
      <c r="B124" s="2" t="s">
        <v>1413</v>
      </c>
      <c r="C124" s="2" t="s">
        <v>1414</v>
      </c>
      <c r="D124" s="2"/>
      <c r="E124" s="2" t="s">
        <v>28</v>
      </c>
      <c r="F124" s="2" t="s">
        <v>30</v>
      </c>
      <c r="G124" s="2" t="s">
        <v>30</v>
      </c>
      <c r="H124" s="2" t="s">
        <v>30</v>
      </c>
      <c r="I124" s="2" t="s">
        <v>1415</v>
      </c>
      <c r="J124" s="2" t="s">
        <v>1416</v>
      </c>
      <c r="K124" s="2" t="s">
        <v>294</v>
      </c>
      <c r="L124" s="2" t="s">
        <v>33</v>
      </c>
      <c r="M124" s="2" t="s">
        <v>1417</v>
      </c>
      <c r="N124" s="3" t="s">
        <v>1418</v>
      </c>
      <c r="O124" s="3" t="s">
        <v>36</v>
      </c>
      <c r="P124" s="2"/>
      <c r="Q124" s="2" t="s">
        <v>1419</v>
      </c>
      <c r="R124" s="3" t="s">
        <v>1420</v>
      </c>
      <c r="S124" s="3" t="s">
        <v>1421</v>
      </c>
      <c r="T124" s="3" t="s">
        <v>1422</v>
      </c>
      <c r="U124" s="3" t="s">
        <v>1423</v>
      </c>
      <c r="V124" s="3" t="s">
        <v>1424</v>
      </c>
      <c r="W124" s="3" t="s">
        <v>1425</v>
      </c>
      <c r="X124" s="2"/>
      <c r="Y124" s="2" t="s">
        <v>1425</v>
      </c>
      <c r="Z124" s="3"/>
      <c r="AA124" s="2" t="s">
        <v>1426</v>
      </c>
    </row>
    <row r="125" customFormat="false" ht="49.5" hidden="false" customHeight="true" outlineLevel="0" collapsed="false">
      <c r="A125" s="2" t="n">
        <v>124</v>
      </c>
      <c r="B125" s="2" t="s">
        <v>1427</v>
      </c>
      <c r="C125" s="2" t="s">
        <v>1402</v>
      </c>
      <c r="D125" s="2"/>
      <c r="E125" s="2" t="s">
        <v>28</v>
      </c>
      <c r="F125" s="2" t="s">
        <v>30</v>
      </c>
      <c r="G125" s="2" t="s">
        <v>30</v>
      </c>
      <c r="H125" s="2" t="s">
        <v>30</v>
      </c>
      <c r="I125" s="2" t="s">
        <v>1428</v>
      </c>
      <c r="J125" s="2"/>
      <c r="K125" s="2" t="s">
        <v>1429</v>
      </c>
      <c r="L125" s="2" t="s">
        <v>33</v>
      </c>
      <c r="M125" s="2" t="s">
        <v>1403</v>
      </c>
      <c r="N125" s="3" t="s">
        <v>1430</v>
      </c>
      <c r="O125" s="3" t="s">
        <v>36</v>
      </c>
      <c r="P125" s="2"/>
      <c r="Q125" s="2" t="s">
        <v>1405</v>
      </c>
      <c r="R125" s="3" t="s">
        <v>1431</v>
      </c>
      <c r="S125" s="3" t="s">
        <v>1432</v>
      </c>
      <c r="T125" s="3" t="s">
        <v>1433</v>
      </c>
      <c r="U125" s="3" t="s">
        <v>1434</v>
      </c>
      <c r="V125" s="3" t="s">
        <v>1435</v>
      </c>
      <c r="W125" s="3" t="s">
        <v>1436</v>
      </c>
      <c r="X125" s="2"/>
      <c r="Y125" s="2" t="s">
        <v>1437</v>
      </c>
      <c r="Z125" s="3"/>
      <c r="AA125" s="2" t="s">
        <v>1438</v>
      </c>
    </row>
    <row r="126" customFormat="false" ht="62.25" hidden="false" customHeight="true" outlineLevel="0" collapsed="false">
      <c r="A126" s="2" t="n">
        <v>125</v>
      </c>
      <c r="B126" s="2" t="s">
        <v>1439</v>
      </c>
      <c r="C126" s="2" t="s">
        <v>1414</v>
      </c>
      <c r="D126" s="2"/>
      <c r="E126" s="2" t="s">
        <v>28</v>
      </c>
      <c r="F126" s="2" t="s">
        <v>30</v>
      </c>
      <c r="G126" s="2" t="s">
        <v>30</v>
      </c>
      <c r="H126" s="2" t="s">
        <v>30</v>
      </c>
      <c r="I126" s="2" t="s">
        <v>1440</v>
      </c>
      <c r="J126" s="2" t="s">
        <v>1441</v>
      </c>
      <c r="K126" s="2" t="s">
        <v>32</v>
      </c>
      <c r="L126" s="2" t="s">
        <v>33</v>
      </c>
      <c r="M126" s="2" t="s">
        <v>34</v>
      </c>
      <c r="N126" s="3" t="s">
        <v>1442</v>
      </c>
      <c r="O126" s="3" t="s">
        <v>36</v>
      </c>
      <c r="P126" s="2"/>
      <c r="Q126" s="2" t="s">
        <v>1419</v>
      </c>
      <c r="R126" s="3" t="s">
        <v>1443</v>
      </c>
      <c r="S126" s="3" t="s">
        <v>1444</v>
      </c>
      <c r="T126" s="3" t="s">
        <v>1445</v>
      </c>
      <c r="U126" s="3" t="s">
        <v>1446</v>
      </c>
      <c r="V126" s="3" t="s">
        <v>1447</v>
      </c>
      <c r="W126" s="3" t="s">
        <v>1448</v>
      </c>
      <c r="X126" s="2"/>
      <c r="Y126" s="2" t="s">
        <v>1448</v>
      </c>
      <c r="Z126" s="3"/>
      <c r="AA126" s="2" t="s">
        <v>1449</v>
      </c>
    </row>
    <row r="127" customFormat="false" ht="62.25" hidden="false" customHeight="true" outlineLevel="0" collapsed="false">
      <c r="A127" s="2" t="n">
        <v>126</v>
      </c>
      <c r="B127" s="2" t="s">
        <v>1450</v>
      </c>
      <c r="C127" s="2" t="s">
        <v>1451</v>
      </c>
      <c r="D127" s="2"/>
      <c r="E127" s="2" t="s">
        <v>56</v>
      </c>
      <c r="F127" s="2" t="s">
        <v>30</v>
      </c>
      <c r="G127" s="2" t="s">
        <v>30</v>
      </c>
      <c r="H127" s="2" t="s">
        <v>30</v>
      </c>
      <c r="I127" s="2" t="s">
        <v>1452</v>
      </c>
      <c r="J127" s="2"/>
      <c r="K127" s="2" t="s">
        <v>1453</v>
      </c>
      <c r="L127" s="2" t="s">
        <v>1453</v>
      </c>
      <c r="M127" s="2" t="s">
        <v>1453</v>
      </c>
      <c r="N127" s="3" t="s">
        <v>1453</v>
      </c>
      <c r="O127" s="3" t="s">
        <v>36</v>
      </c>
      <c r="P127" s="2"/>
      <c r="Q127" s="2" t="s">
        <v>1454</v>
      </c>
      <c r="R127" s="3" t="s">
        <v>1455</v>
      </c>
      <c r="S127" s="3" t="s">
        <v>1456</v>
      </c>
      <c r="T127" s="3" t="s">
        <v>1457</v>
      </c>
      <c r="U127" s="3" t="s">
        <v>1458</v>
      </c>
      <c r="V127" s="3" t="s">
        <v>1459</v>
      </c>
      <c r="W127" s="3"/>
      <c r="X127" s="2"/>
      <c r="Y127" s="2"/>
      <c r="Z127" s="3"/>
      <c r="AA127" s="2" t="s">
        <v>1460</v>
      </c>
    </row>
    <row r="128" customFormat="false" ht="62.25" hidden="false" customHeight="true" outlineLevel="0" collapsed="false">
      <c r="A128" s="2" t="n">
        <v>127</v>
      </c>
      <c r="B128" s="2" t="s">
        <v>1461</v>
      </c>
      <c r="C128" s="2" t="s">
        <v>1414</v>
      </c>
      <c r="D128" s="2"/>
      <c r="E128" s="2" t="s">
        <v>28</v>
      </c>
      <c r="F128" s="2" t="s">
        <v>29</v>
      </c>
      <c r="G128" s="2" t="s">
        <v>30</v>
      </c>
      <c r="H128" s="2" t="s">
        <v>30</v>
      </c>
      <c r="I128" s="2" t="s">
        <v>1195</v>
      </c>
      <c r="J128" s="2" t="s">
        <v>1462</v>
      </c>
      <c r="K128" s="2" t="s">
        <v>654</v>
      </c>
      <c r="L128" s="2" t="s">
        <v>33</v>
      </c>
      <c r="M128" s="2" t="s">
        <v>1463</v>
      </c>
      <c r="N128" s="3" t="s">
        <v>655</v>
      </c>
      <c r="O128" s="3" t="s">
        <v>912</v>
      </c>
      <c r="P128" s="2"/>
      <c r="Q128" s="2" t="s">
        <v>1419</v>
      </c>
      <c r="R128" s="3" t="s">
        <v>1464</v>
      </c>
      <c r="S128" s="3" t="s">
        <v>1465</v>
      </c>
      <c r="T128" s="3" t="s">
        <v>1466</v>
      </c>
      <c r="U128" s="3" t="s">
        <v>1467</v>
      </c>
      <c r="V128" s="3" t="s">
        <v>1468</v>
      </c>
      <c r="W128" s="3" t="s">
        <v>1469</v>
      </c>
      <c r="X128" s="2"/>
      <c r="Y128" s="2" t="s">
        <v>1470</v>
      </c>
      <c r="Z128" s="3"/>
      <c r="AA128" s="2" t="s">
        <v>1471</v>
      </c>
    </row>
    <row r="129" customFormat="false" ht="62.25" hidden="false" customHeight="true" outlineLevel="0" collapsed="false">
      <c r="A129" s="2" t="n">
        <v>128</v>
      </c>
      <c r="B129" s="2" t="s">
        <v>1472</v>
      </c>
      <c r="C129" s="2"/>
      <c r="D129" s="2"/>
      <c r="E129" s="2" t="s">
        <v>28</v>
      </c>
      <c r="F129" s="2" t="s">
        <v>30</v>
      </c>
      <c r="G129" s="2" t="s">
        <v>30</v>
      </c>
      <c r="H129" s="2" t="s">
        <v>30</v>
      </c>
      <c r="I129" s="2" t="s">
        <v>390</v>
      </c>
      <c r="J129" s="2" t="s">
        <v>73</v>
      </c>
      <c r="K129" s="2" t="s">
        <v>1473</v>
      </c>
      <c r="L129" s="2" t="s">
        <v>166</v>
      </c>
      <c r="M129" s="2" t="s">
        <v>153</v>
      </c>
      <c r="N129" s="3" t="s">
        <v>1474</v>
      </c>
      <c r="O129" s="3" t="s">
        <v>36</v>
      </c>
      <c r="P129" s="2"/>
      <c r="Q129" s="2" t="s">
        <v>1366</v>
      </c>
      <c r="R129" s="3" t="s">
        <v>1475</v>
      </c>
      <c r="S129" s="3" t="s">
        <v>1476</v>
      </c>
      <c r="T129" s="3" t="s">
        <v>1477</v>
      </c>
      <c r="U129" s="3" t="s">
        <v>1478</v>
      </c>
      <c r="V129" s="3" t="s">
        <v>1479</v>
      </c>
      <c r="W129" s="3" t="s">
        <v>1480</v>
      </c>
      <c r="X129" s="2"/>
      <c r="Y129" s="2" t="s">
        <v>1480</v>
      </c>
      <c r="Z129" s="3"/>
      <c r="AA129" s="2" t="s">
        <v>1481</v>
      </c>
    </row>
    <row r="130" customFormat="false" ht="49.5" hidden="false" customHeight="true" outlineLevel="0" collapsed="false">
      <c r="A130" s="2" t="n">
        <v>129</v>
      </c>
      <c r="B130" s="2" t="s">
        <v>1482</v>
      </c>
      <c r="C130" s="2" t="s">
        <v>1402</v>
      </c>
      <c r="D130" s="2"/>
      <c r="E130" s="2" t="s">
        <v>56</v>
      </c>
      <c r="F130" s="2" t="s">
        <v>30</v>
      </c>
      <c r="G130" s="2" t="s">
        <v>30</v>
      </c>
      <c r="H130" s="2" t="s">
        <v>30</v>
      </c>
      <c r="I130" s="2" t="s">
        <v>73</v>
      </c>
      <c r="J130" s="2"/>
      <c r="K130" s="2" t="s">
        <v>1483</v>
      </c>
      <c r="L130" s="2" t="s">
        <v>33</v>
      </c>
      <c r="M130" s="2" t="s">
        <v>1484</v>
      </c>
      <c r="N130" s="3" t="s">
        <v>1483</v>
      </c>
      <c r="O130" s="3" t="s">
        <v>36</v>
      </c>
      <c r="P130" s="2"/>
      <c r="Q130" s="2" t="s">
        <v>1405</v>
      </c>
      <c r="R130" s="3" t="s">
        <v>1485</v>
      </c>
      <c r="S130" s="3" t="s">
        <v>1486</v>
      </c>
      <c r="T130" s="3" t="s">
        <v>1487</v>
      </c>
      <c r="U130" s="3" t="s">
        <v>1488</v>
      </c>
      <c r="V130" s="3" t="s">
        <v>1489</v>
      </c>
      <c r="W130" s="3"/>
      <c r="X130" s="2"/>
      <c r="Y130" s="2"/>
      <c r="Z130" s="3"/>
      <c r="AA130" s="2" t="s">
        <v>1490</v>
      </c>
    </row>
    <row r="131" customFormat="false" ht="49.5" hidden="false" customHeight="true" outlineLevel="0" collapsed="false">
      <c r="A131" s="2" t="n">
        <v>130</v>
      </c>
      <c r="B131" s="2" t="s">
        <v>1491</v>
      </c>
      <c r="C131" s="2" t="s">
        <v>1414</v>
      </c>
      <c r="D131" s="2"/>
      <c r="E131" s="2" t="s">
        <v>56</v>
      </c>
      <c r="F131" s="2" t="s">
        <v>29</v>
      </c>
      <c r="G131" s="2" t="s">
        <v>30</v>
      </c>
      <c r="H131" s="2" t="s">
        <v>30</v>
      </c>
      <c r="I131" s="2" t="s">
        <v>164</v>
      </c>
      <c r="J131" s="2" t="s">
        <v>179</v>
      </c>
      <c r="K131" s="2" t="s">
        <v>165</v>
      </c>
      <c r="L131" s="2" t="s">
        <v>166</v>
      </c>
      <c r="M131" s="2" t="s">
        <v>153</v>
      </c>
      <c r="N131" s="3" t="s">
        <v>167</v>
      </c>
      <c r="O131" s="3" t="s">
        <v>36</v>
      </c>
      <c r="P131" s="2"/>
      <c r="Q131" s="2" t="s">
        <v>1419</v>
      </c>
      <c r="R131" s="3" t="s">
        <v>1492</v>
      </c>
      <c r="S131" s="3" t="s">
        <v>1493</v>
      </c>
      <c r="T131" s="3" t="s">
        <v>1494</v>
      </c>
      <c r="U131" s="3" t="s">
        <v>1495</v>
      </c>
      <c r="V131" s="3" t="s">
        <v>1496</v>
      </c>
      <c r="W131" s="3" t="s">
        <v>1244</v>
      </c>
      <c r="X131" s="2"/>
      <c r="Y131" s="2" t="s">
        <v>1244</v>
      </c>
      <c r="Z131" s="3"/>
      <c r="AA131" s="2" t="s">
        <v>1497</v>
      </c>
    </row>
    <row r="132" customFormat="false" ht="49.5" hidden="false" customHeight="true" outlineLevel="0" collapsed="false">
      <c r="A132" s="2" t="n">
        <v>131</v>
      </c>
      <c r="B132" s="2" t="s">
        <v>1498</v>
      </c>
      <c r="C132" s="2" t="s">
        <v>1414</v>
      </c>
      <c r="D132" s="2"/>
      <c r="E132" s="2" t="s">
        <v>56</v>
      </c>
      <c r="F132" s="2" t="s">
        <v>29</v>
      </c>
      <c r="G132" s="2" t="s">
        <v>30</v>
      </c>
      <c r="H132" s="2" t="s">
        <v>30</v>
      </c>
      <c r="I132" s="2" t="s">
        <v>230</v>
      </c>
      <c r="J132" s="2" t="s">
        <v>242</v>
      </c>
      <c r="K132" s="2" t="s">
        <v>1499</v>
      </c>
      <c r="L132" s="2" t="s">
        <v>1500</v>
      </c>
      <c r="M132" s="2" t="s">
        <v>153</v>
      </c>
      <c r="N132" s="3" t="s">
        <v>1501</v>
      </c>
      <c r="O132" s="3" t="s">
        <v>1082</v>
      </c>
      <c r="P132" s="2"/>
      <c r="Q132" s="2" t="s">
        <v>1419</v>
      </c>
      <c r="R132" s="3" t="s">
        <v>1502</v>
      </c>
      <c r="S132" s="3" t="s">
        <v>1503</v>
      </c>
      <c r="T132" s="3" t="s">
        <v>1504</v>
      </c>
      <c r="U132" s="3" t="s">
        <v>1505</v>
      </c>
      <c r="V132" s="3" t="s">
        <v>1496</v>
      </c>
      <c r="W132" s="3" t="s">
        <v>1506</v>
      </c>
      <c r="X132" s="2"/>
      <c r="Y132" s="2" t="s">
        <v>1506</v>
      </c>
      <c r="Z132" s="3"/>
      <c r="AA132" s="2" t="s">
        <v>1507</v>
      </c>
    </row>
    <row r="133" customFormat="false" ht="62.25" hidden="false" customHeight="true" outlineLevel="0" collapsed="false">
      <c r="A133" s="2" t="n">
        <v>132</v>
      </c>
      <c r="B133" s="2" t="s">
        <v>1508</v>
      </c>
      <c r="C133" s="2" t="s">
        <v>1414</v>
      </c>
      <c r="D133" s="2"/>
      <c r="E133" s="2" t="s">
        <v>28</v>
      </c>
      <c r="F133" s="2" t="s">
        <v>57</v>
      </c>
      <c r="G133" s="2" t="s">
        <v>30</v>
      </c>
      <c r="H133" s="2" t="s">
        <v>30</v>
      </c>
      <c r="I133" s="2" t="s">
        <v>352</v>
      </c>
      <c r="J133" s="2" t="s">
        <v>1509</v>
      </c>
      <c r="K133" s="2" t="s">
        <v>1301</v>
      </c>
      <c r="L133" s="2" t="s">
        <v>1302</v>
      </c>
      <c r="M133" s="2" t="s">
        <v>153</v>
      </c>
      <c r="N133" s="3" t="s">
        <v>1303</v>
      </c>
      <c r="O133" s="3" t="s">
        <v>912</v>
      </c>
      <c r="P133" s="2"/>
      <c r="Q133" s="2" t="s">
        <v>1419</v>
      </c>
      <c r="R133" s="3" t="s">
        <v>1510</v>
      </c>
      <c r="S133" s="3" t="s">
        <v>1511</v>
      </c>
      <c r="T133" s="3" t="s">
        <v>1512</v>
      </c>
      <c r="U133" s="3" t="s">
        <v>1513</v>
      </c>
      <c r="V133" s="3" t="s">
        <v>1514</v>
      </c>
      <c r="W133" s="3" t="s">
        <v>1470</v>
      </c>
      <c r="X133" s="2"/>
      <c r="Y133" s="2" t="s">
        <v>1470</v>
      </c>
      <c r="Z133" s="3"/>
      <c r="AA133" s="2" t="s">
        <v>1515</v>
      </c>
    </row>
    <row r="134" customFormat="false" ht="62.25" hidden="false" customHeight="true" outlineLevel="0" collapsed="false">
      <c r="A134" s="2" t="n">
        <v>133</v>
      </c>
      <c r="B134" s="2" t="s">
        <v>1516</v>
      </c>
      <c r="C134" s="2" t="s">
        <v>1402</v>
      </c>
      <c r="D134" s="2" t="s">
        <v>1517</v>
      </c>
      <c r="E134" s="2" t="s">
        <v>56</v>
      </c>
      <c r="F134" s="2" t="s">
        <v>30</v>
      </c>
      <c r="G134" s="2" t="s">
        <v>30</v>
      </c>
      <c r="H134" s="2" t="s">
        <v>30</v>
      </c>
      <c r="I134" s="2" t="s">
        <v>493</v>
      </c>
      <c r="J134" s="2"/>
      <c r="K134" s="2" t="s">
        <v>74</v>
      </c>
      <c r="L134" s="2" t="s">
        <v>33</v>
      </c>
      <c r="M134" s="2" t="s">
        <v>1518</v>
      </c>
      <c r="N134" s="3" t="s">
        <v>380</v>
      </c>
      <c r="O134" s="3" t="s">
        <v>1082</v>
      </c>
      <c r="P134" s="2"/>
      <c r="Q134" s="2" t="s">
        <v>1405</v>
      </c>
      <c r="R134" s="3" t="s">
        <v>1519</v>
      </c>
      <c r="S134" s="3" t="s">
        <v>1520</v>
      </c>
      <c r="T134" s="3" t="s">
        <v>1521</v>
      </c>
      <c r="U134" s="3" t="s">
        <v>1522</v>
      </c>
      <c r="V134" s="3" t="s">
        <v>1489</v>
      </c>
      <c r="W134" s="3" t="s">
        <v>1523</v>
      </c>
      <c r="X134" s="2"/>
      <c r="Y134" s="2" t="s">
        <v>1524</v>
      </c>
      <c r="Z134" s="3" t="s">
        <v>1525</v>
      </c>
      <c r="AA134" s="2" t="s">
        <v>1526</v>
      </c>
    </row>
    <row r="135" customFormat="false" ht="62.25" hidden="false" customHeight="true" outlineLevel="0" collapsed="false">
      <c r="A135" s="2" t="n">
        <v>134</v>
      </c>
      <c r="B135" s="2" t="s">
        <v>1527</v>
      </c>
      <c r="C135" s="2" t="s">
        <v>1451</v>
      </c>
      <c r="D135" s="2"/>
      <c r="E135" s="2" t="s">
        <v>56</v>
      </c>
      <c r="F135" s="2" t="s">
        <v>30</v>
      </c>
      <c r="G135" s="2" t="s">
        <v>30</v>
      </c>
      <c r="H135" s="2" t="s">
        <v>30</v>
      </c>
      <c r="I135" s="2" t="s">
        <v>368</v>
      </c>
      <c r="J135" s="2"/>
      <c r="K135" s="2" t="s">
        <v>739</v>
      </c>
      <c r="L135" s="2" t="s">
        <v>33</v>
      </c>
      <c r="M135" s="2" t="s">
        <v>1528</v>
      </c>
      <c r="N135" s="3" t="s">
        <v>1529</v>
      </c>
      <c r="O135" s="3" t="s">
        <v>1082</v>
      </c>
      <c r="P135" s="2"/>
      <c r="Q135" s="2" t="s">
        <v>1530</v>
      </c>
      <c r="R135" s="3" t="s">
        <v>1531</v>
      </c>
      <c r="S135" s="3" t="s">
        <v>1532</v>
      </c>
      <c r="T135" s="3" t="s">
        <v>1533</v>
      </c>
      <c r="U135" s="3" t="s">
        <v>1534</v>
      </c>
      <c r="V135" s="3" t="s">
        <v>1535</v>
      </c>
      <c r="W135" s="3" t="s">
        <v>1536</v>
      </c>
      <c r="X135" s="2"/>
      <c r="Y135" s="2" t="s">
        <v>1536</v>
      </c>
      <c r="Z135" s="3" t="s">
        <v>1537</v>
      </c>
      <c r="AA135" s="2" t="s">
        <v>1538</v>
      </c>
    </row>
    <row r="136" customFormat="false" ht="62.25" hidden="false" customHeight="true" outlineLevel="0" collapsed="false">
      <c r="A136" s="2" t="n">
        <v>135</v>
      </c>
      <c r="B136" s="2" t="s">
        <v>1539</v>
      </c>
      <c r="C136" s="2"/>
      <c r="D136" s="2" t="s">
        <v>1540</v>
      </c>
      <c r="E136" s="2" t="s">
        <v>56</v>
      </c>
      <c r="F136" s="2" t="s">
        <v>177</v>
      </c>
      <c r="G136" s="2" t="s">
        <v>30</v>
      </c>
      <c r="H136" s="2" t="s">
        <v>30</v>
      </c>
      <c r="I136" s="2" t="s">
        <v>1289</v>
      </c>
      <c r="J136" s="2" t="s">
        <v>1541</v>
      </c>
      <c r="K136" s="2" t="s">
        <v>74</v>
      </c>
      <c r="L136" s="2" t="s">
        <v>33</v>
      </c>
      <c r="M136" s="2" t="s">
        <v>1518</v>
      </c>
      <c r="N136" s="3" t="s">
        <v>380</v>
      </c>
      <c r="O136" s="3" t="s">
        <v>1542</v>
      </c>
      <c r="P136" s="2"/>
      <c r="Q136" s="2" t="s">
        <v>1366</v>
      </c>
      <c r="R136" s="3" t="s">
        <v>1543</v>
      </c>
      <c r="S136" s="3" t="s">
        <v>1544</v>
      </c>
      <c r="T136" s="3" t="s">
        <v>1545</v>
      </c>
      <c r="U136" s="3" t="s">
        <v>1546</v>
      </c>
      <c r="V136" s="3" t="s">
        <v>1547</v>
      </c>
      <c r="W136" s="3" t="s">
        <v>1548</v>
      </c>
      <c r="X136" s="2"/>
      <c r="Y136" s="2" t="s">
        <v>1549</v>
      </c>
      <c r="Z136" s="3" t="s">
        <v>1550</v>
      </c>
      <c r="AA136" s="2" t="s">
        <v>1551</v>
      </c>
    </row>
    <row r="137" customFormat="false" ht="62.25" hidden="false" customHeight="true" outlineLevel="0" collapsed="false">
      <c r="A137" s="2" t="n">
        <v>136</v>
      </c>
      <c r="B137" s="2" t="s">
        <v>1552</v>
      </c>
      <c r="C137" s="2"/>
      <c r="D137" s="2"/>
      <c r="E137" s="2" t="s">
        <v>56</v>
      </c>
      <c r="F137" s="2" t="s">
        <v>29</v>
      </c>
      <c r="G137" s="2" t="s">
        <v>30</v>
      </c>
      <c r="H137" s="2" t="s">
        <v>30</v>
      </c>
      <c r="I137" s="2" t="s">
        <v>1334</v>
      </c>
      <c r="J137" s="2" t="s">
        <v>1553</v>
      </c>
      <c r="K137" s="2" t="s">
        <v>74</v>
      </c>
      <c r="L137" s="2" t="s">
        <v>33</v>
      </c>
      <c r="M137" s="2" t="s">
        <v>1518</v>
      </c>
      <c r="N137" s="3" t="s">
        <v>380</v>
      </c>
      <c r="O137" s="3" t="s">
        <v>36</v>
      </c>
      <c r="P137" s="2"/>
      <c r="Q137" s="2" t="s">
        <v>1366</v>
      </c>
      <c r="R137" s="3" t="s">
        <v>1554</v>
      </c>
      <c r="S137" s="3" t="s">
        <v>1555</v>
      </c>
      <c r="T137" s="3" t="s">
        <v>1556</v>
      </c>
      <c r="U137" s="3" t="s">
        <v>1557</v>
      </c>
      <c r="V137" s="3" t="s">
        <v>1558</v>
      </c>
      <c r="W137" s="3" t="s">
        <v>1559</v>
      </c>
      <c r="X137" s="2"/>
      <c r="Y137" s="2"/>
      <c r="Z137" s="3"/>
      <c r="AA137" s="2" t="s">
        <v>1560</v>
      </c>
    </row>
    <row r="138" customFormat="false" ht="62.25" hidden="false" customHeight="true" outlineLevel="0" collapsed="false">
      <c r="A138" s="2" t="n">
        <v>137</v>
      </c>
      <c r="B138" s="2" t="s">
        <v>1561</v>
      </c>
      <c r="C138" s="2" t="s">
        <v>1414</v>
      </c>
      <c r="D138" s="2"/>
      <c r="E138" s="2" t="s">
        <v>28</v>
      </c>
      <c r="F138" s="2" t="s">
        <v>30</v>
      </c>
      <c r="G138" s="2" t="s">
        <v>30</v>
      </c>
      <c r="H138" s="2" t="s">
        <v>30</v>
      </c>
      <c r="I138" s="2" t="s">
        <v>1562</v>
      </c>
      <c r="J138" s="2" t="s">
        <v>1563</v>
      </c>
      <c r="K138" s="2" t="s">
        <v>74</v>
      </c>
      <c r="L138" s="2" t="s">
        <v>33</v>
      </c>
      <c r="M138" s="2" t="s">
        <v>1518</v>
      </c>
      <c r="N138" s="3" t="s">
        <v>380</v>
      </c>
      <c r="O138" s="3" t="s">
        <v>1564</v>
      </c>
      <c r="P138" s="2"/>
      <c r="Q138" s="2" t="s">
        <v>1269</v>
      </c>
      <c r="R138" s="3" t="s">
        <v>1565</v>
      </c>
      <c r="S138" s="3" t="s">
        <v>1566</v>
      </c>
      <c r="T138" s="3" t="s">
        <v>1567</v>
      </c>
      <c r="U138" s="3" t="s">
        <v>1568</v>
      </c>
      <c r="V138" s="3" t="s">
        <v>1569</v>
      </c>
      <c r="W138" s="3" t="s">
        <v>1570</v>
      </c>
      <c r="X138" s="2"/>
      <c r="Y138" s="2" t="s">
        <v>1570</v>
      </c>
      <c r="Z138" s="3" t="s">
        <v>1571</v>
      </c>
      <c r="AA138" s="2" t="s">
        <v>1572</v>
      </c>
    </row>
    <row r="139" customFormat="false" ht="62.25" hidden="false" customHeight="true" outlineLevel="0" collapsed="false">
      <c r="A139" s="2" t="n">
        <v>138</v>
      </c>
      <c r="B139" s="2" t="s">
        <v>1573</v>
      </c>
      <c r="C139" s="2" t="s">
        <v>1414</v>
      </c>
      <c r="D139" s="2"/>
      <c r="E139" s="2" t="s">
        <v>28</v>
      </c>
      <c r="F139" s="2" t="s">
        <v>57</v>
      </c>
      <c r="G139" s="2" t="s">
        <v>30</v>
      </c>
      <c r="H139" s="2" t="s">
        <v>30</v>
      </c>
      <c r="I139" s="2" t="s">
        <v>1574</v>
      </c>
      <c r="J139" s="2" t="s">
        <v>1575</v>
      </c>
      <c r="K139" s="2" t="s">
        <v>74</v>
      </c>
      <c r="L139" s="2" t="s">
        <v>33</v>
      </c>
      <c r="M139" s="2" t="s">
        <v>1518</v>
      </c>
      <c r="N139" s="3" t="s">
        <v>380</v>
      </c>
      <c r="O139" s="3" t="s">
        <v>36</v>
      </c>
      <c r="P139" s="2"/>
      <c r="Q139" s="2" t="s">
        <v>1419</v>
      </c>
      <c r="R139" s="3" t="s">
        <v>1576</v>
      </c>
      <c r="S139" s="3" t="s">
        <v>1577</v>
      </c>
      <c r="T139" s="3" t="s">
        <v>1578</v>
      </c>
      <c r="U139" s="3" t="s">
        <v>1579</v>
      </c>
      <c r="V139" s="3" t="s">
        <v>1580</v>
      </c>
      <c r="W139" s="3" t="s">
        <v>1581</v>
      </c>
      <c r="X139" s="2"/>
      <c r="Y139" s="2" t="s">
        <v>1581</v>
      </c>
      <c r="Z139" s="3"/>
      <c r="AA139" s="2" t="s">
        <v>1582</v>
      </c>
    </row>
    <row r="140" customFormat="false" ht="75" hidden="false" customHeight="true" outlineLevel="0" collapsed="false">
      <c r="A140" s="2" t="n">
        <v>139</v>
      </c>
      <c r="B140" s="2" t="s">
        <v>1133</v>
      </c>
      <c r="C140" s="2" t="s">
        <v>1076</v>
      </c>
      <c r="D140" s="2"/>
      <c r="E140" s="2" t="s">
        <v>56</v>
      </c>
      <c r="F140" s="2" t="s">
        <v>30</v>
      </c>
      <c r="G140" s="2" t="s">
        <v>30</v>
      </c>
      <c r="H140" s="2" t="s">
        <v>30</v>
      </c>
      <c r="I140" s="2" t="s">
        <v>1583</v>
      </c>
      <c r="J140" s="2" t="s">
        <v>1584</v>
      </c>
      <c r="K140" s="2" t="s">
        <v>1135</v>
      </c>
      <c r="L140" s="2" t="s">
        <v>355</v>
      </c>
      <c r="M140" s="2" t="s">
        <v>153</v>
      </c>
      <c r="N140" s="3" t="s">
        <v>1585</v>
      </c>
      <c r="O140" s="3" t="s">
        <v>36</v>
      </c>
      <c r="P140" s="2" t="s">
        <v>182</v>
      </c>
      <c r="Q140" s="2" t="s">
        <v>1083</v>
      </c>
      <c r="R140" s="3" t="s">
        <v>1137</v>
      </c>
      <c r="S140" s="3" t="s">
        <v>1138</v>
      </c>
      <c r="T140" s="3" t="s">
        <v>1139</v>
      </c>
      <c r="U140" s="3" t="s">
        <v>1140</v>
      </c>
      <c r="V140" s="3" t="s">
        <v>1141</v>
      </c>
      <c r="W140" s="3" t="s">
        <v>1142</v>
      </c>
      <c r="X140" s="2"/>
      <c r="Y140" s="2" t="s">
        <v>1142</v>
      </c>
      <c r="Z140" s="3"/>
      <c r="AA140" s="2" t="s">
        <v>1586</v>
      </c>
    </row>
    <row r="141" customFormat="false" ht="87" hidden="false" customHeight="true" outlineLevel="0" collapsed="false">
      <c r="A141" s="2" t="n">
        <v>140</v>
      </c>
      <c r="B141" s="2" t="s">
        <v>1225</v>
      </c>
      <c r="C141" s="2" t="s">
        <v>86</v>
      </c>
      <c r="D141" s="2" t="s">
        <v>87</v>
      </c>
      <c r="E141" s="2" t="s">
        <v>28</v>
      </c>
      <c r="F141" s="2" t="s">
        <v>30</v>
      </c>
      <c r="G141" s="2" t="s">
        <v>30</v>
      </c>
      <c r="H141" s="2" t="s">
        <v>30</v>
      </c>
      <c r="I141" s="2" t="s">
        <v>1587</v>
      </c>
      <c r="J141" s="2" t="s">
        <v>1588</v>
      </c>
      <c r="K141" s="2" t="s">
        <v>625</v>
      </c>
      <c r="L141" s="2" t="s">
        <v>625</v>
      </c>
      <c r="M141" s="2" t="s">
        <v>626</v>
      </c>
      <c r="N141" s="3" t="s">
        <v>1227</v>
      </c>
      <c r="O141" s="3" t="s">
        <v>36</v>
      </c>
      <c r="P141" s="2" t="s">
        <v>1228</v>
      </c>
      <c r="Q141" s="2" t="s">
        <v>1083</v>
      </c>
      <c r="R141" s="3" t="s">
        <v>1229</v>
      </c>
      <c r="S141" s="3" t="s">
        <v>1230</v>
      </c>
      <c r="T141" s="3" t="s">
        <v>1231</v>
      </c>
      <c r="U141" s="3" t="s">
        <v>1232</v>
      </c>
      <c r="V141" s="3" t="s">
        <v>1233</v>
      </c>
      <c r="W141" s="3"/>
      <c r="X141" s="2"/>
      <c r="Y141" s="2" t="s">
        <v>1234</v>
      </c>
      <c r="Z141" s="3" t="s">
        <v>1235</v>
      </c>
      <c r="AA141" s="2" t="s">
        <v>1589</v>
      </c>
    </row>
    <row r="142" customFormat="false" ht="99.75" hidden="false" customHeight="true" outlineLevel="0" collapsed="false">
      <c r="A142" s="2" t="n">
        <v>141</v>
      </c>
      <c r="B142" s="2" t="s">
        <v>1590</v>
      </c>
      <c r="C142" s="2"/>
      <c r="D142" s="2"/>
      <c r="E142" s="2" t="s">
        <v>56</v>
      </c>
      <c r="F142" s="2" t="s">
        <v>29</v>
      </c>
      <c r="G142" s="2" t="s">
        <v>30</v>
      </c>
      <c r="H142" s="2" t="s">
        <v>30</v>
      </c>
      <c r="I142" s="2" t="s">
        <v>1591</v>
      </c>
      <c r="J142" s="2" t="s">
        <v>1592</v>
      </c>
      <c r="K142" s="2" t="s">
        <v>1593</v>
      </c>
      <c r="L142" s="2" t="s">
        <v>1594</v>
      </c>
      <c r="M142" s="2" t="s">
        <v>1595</v>
      </c>
      <c r="N142" s="3" t="s">
        <v>1593</v>
      </c>
      <c r="O142" s="3" t="s">
        <v>36</v>
      </c>
      <c r="P142" s="2"/>
      <c r="Q142" s="2"/>
      <c r="R142" s="3"/>
      <c r="S142" s="3" t="s">
        <v>1596</v>
      </c>
      <c r="T142" s="3" t="s">
        <v>1597</v>
      </c>
      <c r="U142" s="3" t="s">
        <v>1598</v>
      </c>
      <c r="V142" s="3" t="s">
        <v>1599</v>
      </c>
      <c r="W142" s="3" t="s">
        <v>1600</v>
      </c>
      <c r="X142" s="2"/>
      <c r="Y142" s="2" t="s">
        <v>1601</v>
      </c>
      <c r="Z142" s="3"/>
      <c r="AA142" s="2" t="s">
        <v>1602</v>
      </c>
    </row>
    <row r="143" customFormat="false" ht="75" hidden="false" customHeight="true" outlineLevel="0" collapsed="false">
      <c r="A143" s="2" t="n">
        <v>143</v>
      </c>
      <c r="B143" s="2" t="s">
        <v>1603</v>
      </c>
      <c r="C143" s="2"/>
      <c r="D143" s="2"/>
      <c r="E143" s="2" t="s">
        <v>28</v>
      </c>
      <c r="F143" s="2" t="s">
        <v>29</v>
      </c>
      <c r="G143" s="2" t="s">
        <v>30</v>
      </c>
      <c r="H143" s="2" t="s">
        <v>30</v>
      </c>
      <c r="I143" s="2" t="s">
        <v>1604</v>
      </c>
      <c r="J143" s="2" t="s">
        <v>1605</v>
      </c>
      <c r="K143" s="2" t="s">
        <v>674</v>
      </c>
      <c r="L143" s="2" t="s">
        <v>1606</v>
      </c>
      <c r="M143" s="2"/>
      <c r="N143" s="3" t="s">
        <v>1607</v>
      </c>
      <c r="O143" s="3" t="s">
        <v>36</v>
      </c>
      <c r="P143" s="2" t="s">
        <v>1608</v>
      </c>
      <c r="Q143" s="2"/>
      <c r="R143" s="3"/>
      <c r="S143" s="3" t="s">
        <v>1609</v>
      </c>
      <c r="T143" s="3" t="s">
        <v>1610</v>
      </c>
      <c r="U143" s="3" t="s">
        <v>1611</v>
      </c>
      <c r="V143" s="3" t="s">
        <v>1612</v>
      </c>
      <c r="W143" s="3" t="s">
        <v>1613</v>
      </c>
      <c r="X143" s="2"/>
      <c r="Y143" s="2" t="s">
        <v>1614</v>
      </c>
      <c r="Z143" s="3"/>
      <c r="AA143" s="2" t="s">
        <v>1615</v>
      </c>
    </row>
    <row r="144" customFormat="false" ht="199.5" hidden="false" customHeight="true" outlineLevel="0" collapsed="false">
      <c r="A144" s="2"/>
      <c r="B144" s="2" t="s">
        <v>1616</v>
      </c>
      <c r="C144" s="2"/>
      <c r="D144" s="2"/>
      <c r="E144" s="2" t="s">
        <v>56</v>
      </c>
      <c r="F144" s="2" t="s">
        <v>57</v>
      </c>
      <c r="G144" s="2" t="s">
        <v>30</v>
      </c>
      <c r="H144" s="2" t="s">
        <v>30</v>
      </c>
      <c r="I144" s="2" t="s">
        <v>1617</v>
      </c>
      <c r="J144" s="2" t="s">
        <v>568</v>
      </c>
      <c r="K144" s="2" t="s">
        <v>1158</v>
      </c>
      <c r="L144" s="2" t="s">
        <v>727</v>
      </c>
      <c r="M144" s="2" t="s">
        <v>1618</v>
      </c>
      <c r="N144" s="3" t="s">
        <v>1619</v>
      </c>
      <c r="O144" s="3" t="s">
        <v>1620</v>
      </c>
      <c r="P144" s="2" t="s">
        <v>1621</v>
      </c>
      <c r="Q144" s="2"/>
      <c r="R144" s="3" t="s">
        <v>1622</v>
      </c>
      <c r="S144" s="3" t="s">
        <v>1623</v>
      </c>
      <c r="T144" s="3" t="s">
        <v>1624</v>
      </c>
      <c r="U144" s="3" t="s">
        <v>1625</v>
      </c>
      <c r="V144" s="3" t="s">
        <v>1626</v>
      </c>
      <c r="W144" s="3" t="s">
        <v>1627</v>
      </c>
      <c r="X144" s="2"/>
      <c r="Y144" s="2" t="s">
        <v>1628</v>
      </c>
      <c r="Z144" s="3" t="s">
        <v>1629</v>
      </c>
      <c r="AA144" s="2" t="s">
        <v>1630</v>
      </c>
    </row>
    <row r="145" customFormat="false" ht="75" hidden="false" customHeight="true" outlineLevel="0" collapsed="false">
      <c r="A145" s="2"/>
      <c r="B145" s="2" t="s">
        <v>1631</v>
      </c>
      <c r="C145" s="2"/>
      <c r="D145" s="2"/>
      <c r="E145" s="2" t="s">
        <v>28</v>
      </c>
      <c r="F145" s="2" t="s">
        <v>29</v>
      </c>
      <c r="G145" s="2" t="s">
        <v>30</v>
      </c>
      <c r="H145" s="2" t="s">
        <v>30</v>
      </c>
      <c r="I145" s="2" t="s">
        <v>899</v>
      </c>
      <c r="J145" s="2" t="s">
        <v>812</v>
      </c>
      <c r="K145" s="2" t="s">
        <v>971</v>
      </c>
      <c r="L145" s="2" t="s">
        <v>256</v>
      </c>
      <c r="M145" s="2"/>
      <c r="N145" s="3" t="s">
        <v>1632</v>
      </c>
      <c r="O145" s="3" t="s">
        <v>36</v>
      </c>
      <c r="P145" s="2" t="s">
        <v>1608</v>
      </c>
      <c r="Q145" s="2"/>
      <c r="R145" s="3"/>
      <c r="S145" s="3" t="s">
        <v>1609</v>
      </c>
      <c r="T145" s="3" t="s">
        <v>1610</v>
      </c>
      <c r="U145" s="3" t="s">
        <v>1611</v>
      </c>
      <c r="V145" s="3" t="s">
        <v>1612</v>
      </c>
      <c r="W145" s="3" t="s">
        <v>1613</v>
      </c>
      <c r="X145" s="2"/>
      <c r="Y145" s="2" t="s">
        <v>1633</v>
      </c>
      <c r="Z145" s="3"/>
      <c r="AA145" s="2" t="s">
        <v>1634</v>
      </c>
    </row>
    <row r="146" customFormat="false" ht="87" hidden="false" customHeight="true" outlineLevel="0" collapsed="false">
      <c r="A146" s="2"/>
      <c r="B146" s="2" t="s">
        <v>1635</v>
      </c>
      <c r="C146" s="2" t="s">
        <v>1636</v>
      </c>
      <c r="D146" s="2"/>
      <c r="E146" s="2" t="s">
        <v>56</v>
      </c>
      <c r="F146" s="2" t="s">
        <v>57</v>
      </c>
      <c r="G146" s="2" t="s">
        <v>30</v>
      </c>
      <c r="H146" s="2" t="s">
        <v>30</v>
      </c>
      <c r="I146" s="2" t="s">
        <v>1637</v>
      </c>
      <c r="J146" s="2" t="s">
        <v>1638</v>
      </c>
      <c r="K146" s="2" t="s">
        <v>74</v>
      </c>
      <c r="L146" s="2" t="s">
        <v>1594</v>
      </c>
      <c r="M146" s="2" t="s">
        <v>1639</v>
      </c>
      <c r="N146" s="3" t="s">
        <v>1640</v>
      </c>
      <c r="O146" s="3" t="s">
        <v>36</v>
      </c>
      <c r="P146" s="2" t="s">
        <v>1641</v>
      </c>
      <c r="Q146" s="2"/>
      <c r="R146" s="3"/>
      <c r="S146" s="3" t="s">
        <v>1642</v>
      </c>
      <c r="T146" s="3" t="s">
        <v>1643</v>
      </c>
      <c r="U146" s="3" t="s">
        <v>1644</v>
      </c>
      <c r="V146" s="3" t="s">
        <v>1645</v>
      </c>
      <c r="W146" s="3"/>
      <c r="X146" s="2"/>
      <c r="Y146" s="2" t="s">
        <v>1646</v>
      </c>
      <c r="Z146" s="3" t="s">
        <v>1647</v>
      </c>
      <c r="AA146" s="2" t="s">
        <v>1648</v>
      </c>
    </row>
    <row r="147" customFormat="false" ht="37.5" hidden="false" customHeight="true" outlineLevel="0" collapsed="false">
      <c r="A147" s="2"/>
      <c r="B147" s="2" t="s">
        <v>1649</v>
      </c>
      <c r="C147" s="2" t="s">
        <v>550</v>
      </c>
      <c r="D147" s="2" t="s">
        <v>551</v>
      </c>
      <c r="E147" s="2" t="s">
        <v>56</v>
      </c>
      <c r="F147" s="2" t="s">
        <v>29</v>
      </c>
      <c r="G147" s="2" t="s">
        <v>30</v>
      </c>
      <c r="H147" s="2" t="s">
        <v>30</v>
      </c>
      <c r="I147" s="2" t="s">
        <v>1650</v>
      </c>
      <c r="J147" s="2"/>
      <c r="K147" s="2" t="s">
        <v>165</v>
      </c>
      <c r="L147" s="2" t="s">
        <v>166</v>
      </c>
      <c r="M147" s="2" t="s">
        <v>153</v>
      </c>
      <c r="N147" s="3" t="s">
        <v>165</v>
      </c>
      <c r="O147" s="3" t="s">
        <v>36</v>
      </c>
      <c r="P147" s="2"/>
      <c r="Q147" s="2"/>
      <c r="R147" s="3"/>
      <c r="S147" s="3" t="s">
        <v>1651</v>
      </c>
      <c r="T147" s="3"/>
      <c r="U147" s="3"/>
      <c r="V147" s="3" t="s">
        <v>1652</v>
      </c>
      <c r="W147" s="3"/>
      <c r="X147" s="2"/>
      <c r="Y147" s="2" t="s">
        <v>1653</v>
      </c>
      <c r="Z147" s="3" t="s">
        <v>561</v>
      </c>
      <c r="AA147" s="2" t="s">
        <v>1654</v>
      </c>
    </row>
    <row r="148" customFormat="false" ht="99.75" hidden="false" customHeight="true" outlineLevel="0" collapsed="false">
      <c r="A148" s="2"/>
      <c r="B148" s="2" t="s">
        <v>1655</v>
      </c>
      <c r="C148" s="2"/>
      <c r="D148" s="2"/>
      <c r="E148" s="2" t="s">
        <v>56</v>
      </c>
      <c r="F148" s="2" t="s">
        <v>29</v>
      </c>
      <c r="G148" s="2" t="s">
        <v>30</v>
      </c>
      <c r="H148" s="2" t="s">
        <v>30</v>
      </c>
      <c r="I148" s="2" t="s">
        <v>1656</v>
      </c>
      <c r="J148" s="2" t="s">
        <v>1657</v>
      </c>
      <c r="K148" s="2" t="s">
        <v>165</v>
      </c>
      <c r="L148" s="2" t="s">
        <v>1658</v>
      </c>
      <c r="M148" s="2" t="s">
        <v>153</v>
      </c>
      <c r="N148" s="3" t="s">
        <v>1659</v>
      </c>
      <c r="O148" s="3" t="s">
        <v>1660</v>
      </c>
      <c r="P148" s="2" t="s">
        <v>1621</v>
      </c>
      <c r="Q148" s="2"/>
      <c r="R148" s="3" t="s">
        <v>1661</v>
      </c>
      <c r="S148" s="3" t="s">
        <v>1662</v>
      </c>
      <c r="T148" s="3" t="s">
        <v>1663</v>
      </c>
      <c r="U148" s="3" t="s">
        <v>1664</v>
      </c>
      <c r="V148" s="3" t="s">
        <v>1665</v>
      </c>
      <c r="W148" s="3"/>
      <c r="X148" s="2"/>
      <c r="Y148" s="2" t="s">
        <v>1666</v>
      </c>
      <c r="Z148" s="3"/>
      <c r="AA148" s="2" t="s">
        <v>1667</v>
      </c>
    </row>
    <row r="149" customFormat="false" ht="124.5" hidden="false" customHeight="true" outlineLevel="0" collapsed="false">
      <c r="A149" s="2"/>
      <c r="B149" s="2" t="s">
        <v>1668</v>
      </c>
      <c r="C149" s="2"/>
      <c r="D149" s="2"/>
      <c r="E149" s="2" t="s">
        <v>56</v>
      </c>
      <c r="F149" s="2" t="s">
        <v>57</v>
      </c>
      <c r="G149" s="2" t="s">
        <v>30</v>
      </c>
      <c r="H149" s="2" t="s">
        <v>30</v>
      </c>
      <c r="I149" s="2" t="s">
        <v>1669</v>
      </c>
      <c r="J149" s="2" t="s">
        <v>1670</v>
      </c>
      <c r="K149" s="2" t="s">
        <v>1671</v>
      </c>
      <c r="L149" s="2" t="s">
        <v>1594</v>
      </c>
      <c r="M149" s="2" t="s">
        <v>295</v>
      </c>
      <c r="N149" s="3" t="s">
        <v>1671</v>
      </c>
      <c r="O149" s="3" t="s">
        <v>297</v>
      </c>
      <c r="P149" s="2" t="s">
        <v>1672</v>
      </c>
      <c r="Q149" s="2"/>
      <c r="R149" s="3" t="s">
        <v>1673</v>
      </c>
      <c r="S149" s="3" t="s">
        <v>1674</v>
      </c>
      <c r="T149" s="3" t="s">
        <v>1675</v>
      </c>
      <c r="U149" s="3" t="s">
        <v>1676</v>
      </c>
      <c r="V149" s="3" t="s">
        <v>1677</v>
      </c>
      <c r="W149" s="3"/>
      <c r="X149" s="2"/>
      <c r="Y149" s="2" t="s">
        <v>1678</v>
      </c>
      <c r="Z149" s="3"/>
      <c r="AA149" s="2" t="s">
        <v>1679</v>
      </c>
    </row>
    <row r="150" customFormat="false" ht="112.5" hidden="false" customHeight="true" outlineLevel="0" collapsed="false">
      <c r="A150" s="2"/>
      <c r="B150" s="2" t="s">
        <v>1680</v>
      </c>
      <c r="C150" s="2" t="s">
        <v>550</v>
      </c>
      <c r="D150" s="2" t="s">
        <v>551</v>
      </c>
      <c r="E150" s="2" t="s">
        <v>56</v>
      </c>
      <c r="F150" s="2" t="s">
        <v>29</v>
      </c>
      <c r="G150" s="2" t="s">
        <v>30</v>
      </c>
      <c r="H150" s="2" t="s">
        <v>30</v>
      </c>
      <c r="I150" s="2" t="s">
        <v>292</v>
      </c>
      <c r="J150" s="2"/>
      <c r="K150" s="2" t="s">
        <v>1681</v>
      </c>
      <c r="L150" s="2" t="s">
        <v>1682</v>
      </c>
      <c r="M150" s="2" t="s">
        <v>153</v>
      </c>
      <c r="N150" s="3" t="s">
        <v>1681</v>
      </c>
      <c r="O150" s="3" t="s">
        <v>1683</v>
      </c>
      <c r="P150" s="2"/>
      <c r="Q150" s="2"/>
      <c r="R150" s="3"/>
      <c r="S150" s="3" t="s">
        <v>1684</v>
      </c>
      <c r="T150" s="3" t="s">
        <v>1685</v>
      </c>
      <c r="U150" s="3" t="s">
        <v>1686</v>
      </c>
      <c r="V150" s="3" t="s">
        <v>1687</v>
      </c>
      <c r="W150" s="3"/>
      <c r="X150" s="2"/>
      <c r="Y150" s="2" t="s">
        <v>1688</v>
      </c>
      <c r="Z150" s="3" t="s">
        <v>561</v>
      </c>
      <c r="AA150" s="2" t="s">
        <v>1689</v>
      </c>
    </row>
    <row r="151" customFormat="false" ht="112.5" hidden="false" customHeight="true" outlineLevel="0" collapsed="false">
      <c r="A151" s="2"/>
      <c r="B151" s="2" t="s">
        <v>1690</v>
      </c>
      <c r="C151" s="2" t="s">
        <v>86</v>
      </c>
      <c r="D151" s="2" t="s">
        <v>551</v>
      </c>
      <c r="E151" s="2" t="s">
        <v>56</v>
      </c>
      <c r="F151" s="2" t="s">
        <v>177</v>
      </c>
      <c r="G151" s="2" t="s">
        <v>30</v>
      </c>
      <c r="H151" s="2" t="s">
        <v>30</v>
      </c>
      <c r="I151" s="2" t="s">
        <v>1691</v>
      </c>
      <c r="J151" s="2"/>
      <c r="K151" s="2" t="s">
        <v>165</v>
      </c>
      <c r="L151" s="2" t="s">
        <v>1658</v>
      </c>
      <c r="M151" s="2" t="s">
        <v>153</v>
      </c>
      <c r="N151" s="3" t="s">
        <v>1692</v>
      </c>
      <c r="O151" s="3" t="s">
        <v>1693</v>
      </c>
      <c r="P151" s="2"/>
      <c r="Q151" s="2"/>
      <c r="R151" s="3"/>
      <c r="S151" s="3" t="s">
        <v>1694</v>
      </c>
      <c r="T151" s="3" t="s">
        <v>1695</v>
      </c>
      <c r="U151" s="3" t="s">
        <v>1696</v>
      </c>
      <c r="V151" s="3" t="s">
        <v>1697</v>
      </c>
      <c r="W151" s="3" t="s">
        <v>1698</v>
      </c>
      <c r="X151" s="2"/>
      <c r="Y151" s="2" t="s">
        <v>1699</v>
      </c>
      <c r="Z151" s="3" t="s">
        <v>1700</v>
      </c>
      <c r="AA151" s="2" t="s">
        <v>1701</v>
      </c>
    </row>
    <row r="152" customFormat="false" ht="75" hidden="false" customHeight="true" outlineLevel="0" collapsed="false">
      <c r="A152" s="2"/>
      <c r="B152" s="2" t="s">
        <v>1702</v>
      </c>
      <c r="C152" s="2" t="s">
        <v>1703</v>
      </c>
      <c r="D152" s="2" t="s">
        <v>551</v>
      </c>
      <c r="E152" s="2" t="s">
        <v>56</v>
      </c>
      <c r="F152" s="2" t="s">
        <v>57</v>
      </c>
      <c r="G152" s="2" t="s">
        <v>30</v>
      </c>
      <c r="H152" s="2" t="s">
        <v>30</v>
      </c>
      <c r="I152" s="2" t="s">
        <v>1617</v>
      </c>
      <c r="J152" s="2" t="s">
        <v>1617</v>
      </c>
      <c r="K152" s="2" t="s">
        <v>1704</v>
      </c>
      <c r="L152" s="2" t="s">
        <v>1705</v>
      </c>
      <c r="M152" s="2" t="s">
        <v>153</v>
      </c>
      <c r="N152" s="3" t="s">
        <v>1706</v>
      </c>
      <c r="O152" s="3" t="s">
        <v>297</v>
      </c>
      <c r="P152" s="2" t="s">
        <v>1707</v>
      </c>
      <c r="Q152" s="2"/>
      <c r="R152" s="3"/>
      <c r="S152" s="3" t="s">
        <v>1708</v>
      </c>
      <c r="T152" s="3" t="s">
        <v>1709</v>
      </c>
      <c r="U152" s="3" t="s">
        <v>1710</v>
      </c>
      <c r="V152" s="3" t="s">
        <v>1711</v>
      </c>
      <c r="W152" s="3"/>
      <c r="X152" s="2"/>
      <c r="Y152" s="2" t="s">
        <v>1712</v>
      </c>
      <c r="Z152" s="3" t="s">
        <v>1713</v>
      </c>
      <c r="AA152" s="2" t="s">
        <v>1714</v>
      </c>
    </row>
    <row r="153" customFormat="false" ht="15" hidden="false" customHeight="true" outlineLevel="0" collapsed="false">
      <c r="A153" s="2"/>
      <c r="B153" s="2" t="s">
        <v>1715</v>
      </c>
      <c r="C153" s="2"/>
      <c r="D153" s="2"/>
      <c r="E153" s="2" t="s">
        <v>28</v>
      </c>
      <c r="F153" s="2" t="s">
        <v>29</v>
      </c>
      <c r="G153" s="2" t="s">
        <v>30</v>
      </c>
      <c r="H153" s="2" t="s">
        <v>30</v>
      </c>
      <c r="I153" s="2" t="s">
        <v>1716</v>
      </c>
      <c r="J153" s="2" t="s">
        <v>321</v>
      </c>
      <c r="K153" s="2" t="s">
        <v>1394</v>
      </c>
      <c r="L153" s="2" t="s">
        <v>1394</v>
      </c>
      <c r="M153" s="2" t="s">
        <v>194</v>
      </c>
      <c r="N153" s="3" t="s">
        <v>1394</v>
      </c>
      <c r="O153" s="3" t="s">
        <v>36</v>
      </c>
      <c r="P153" s="2"/>
      <c r="Q153" s="2"/>
      <c r="R153" s="3"/>
      <c r="S153" s="3"/>
      <c r="T153" s="3"/>
      <c r="U153" s="3"/>
      <c r="V153" s="3"/>
      <c r="W153" s="3"/>
      <c r="X153" s="2"/>
      <c r="Y153" s="2"/>
      <c r="Z153" s="3"/>
      <c r="AA153" s="2" t="s">
        <v>1717</v>
      </c>
    </row>
    <row r="154" customFormat="false" ht="229.5" hidden="false" customHeight="true" outlineLevel="0" collapsed="false">
      <c r="A154" s="2"/>
      <c r="B154" s="2" t="s">
        <v>1718</v>
      </c>
      <c r="C154" s="2"/>
      <c r="D154" s="2"/>
      <c r="E154" s="2" t="s">
        <v>56</v>
      </c>
      <c r="F154" s="2" t="s">
        <v>29</v>
      </c>
      <c r="G154" s="2" t="s">
        <v>30</v>
      </c>
      <c r="H154" s="2" t="s">
        <v>30</v>
      </c>
      <c r="I154" s="2" t="s">
        <v>342</v>
      </c>
      <c r="J154" s="2"/>
      <c r="K154" s="2" t="s">
        <v>90</v>
      </c>
      <c r="L154" s="2" t="s">
        <v>33</v>
      </c>
      <c r="M154" s="2"/>
      <c r="N154" s="3" t="s">
        <v>1719</v>
      </c>
      <c r="O154" s="3" t="s">
        <v>36</v>
      </c>
      <c r="P154" s="2"/>
      <c r="Q154" s="2" t="s">
        <v>1530</v>
      </c>
      <c r="R154" s="3" t="s">
        <v>1720</v>
      </c>
      <c r="S154" s="3" t="s">
        <v>1721</v>
      </c>
      <c r="T154" s="3"/>
      <c r="U154" s="3"/>
      <c r="V154" s="3" t="s">
        <v>1722</v>
      </c>
      <c r="W154" s="3"/>
      <c r="X154" s="2"/>
      <c r="Y154" s="2" t="s">
        <v>1723</v>
      </c>
      <c r="Z154" s="3" t="s">
        <v>1724</v>
      </c>
      <c r="AA154" s="2" t="s">
        <v>1725</v>
      </c>
    </row>
    <row r="155" customFormat="false" ht="87" hidden="false" customHeight="true" outlineLevel="0" collapsed="false">
      <c r="A155" s="2"/>
      <c r="B155" s="2" t="s">
        <v>1726</v>
      </c>
      <c r="C155" s="2" t="s">
        <v>86</v>
      </c>
      <c r="D155" s="2" t="s">
        <v>551</v>
      </c>
      <c r="E155" s="2" t="s">
        <v>56</v>
      </c>
      <c r="F155" s="2" t="s">
        <v>29</v>
      </c>
      <c r="G155" s="2" t="s">
        <v>30</v>
      </c>
      <c r="H155" s="2" t="s">
        <v>30</v>
      </c>
      <c r="I155" s="2" t="s">
        <v>242</v>
      </c>
      <c r="J155" s="2"/>
      <c r="K155" s="2" t="s">
        <v>165</v>
      </c>
      <c r="L155" s="2" t="s">
        <v>1658</v>
      </c>
      <c r="M155" s="2" t="s">
        <v>153</v>
      </c>
      <c r="N155" s="3" t="s">
        <v>1727</v>
      </c>
      <c r="O155" s="3" t="s">
        <v>297</v>
      </c>
      <c r="P155" s="2"/>
      <c r="Q155" s="2"/>
      <c r="R155" s="3"/>
      <c r="S155" s="3" t="s">
        <v>1728</v>
      </c>
      <c r="T155" s="3" t="s">
        <v>1729</v>
      </c>
      <c r="U155" s="3" t="s">
        <v>1730</v>
      </c>
      <c r="V155" s="3" t="s">
        <v>1731</v>
      </c>
      <c r="W155" s="3" t="s">
        <v>1732</v>
      </c>
      <c r="X155" s="2"/>
      <c r="Y155" s="2" t="s">
        <v>1733</v>
      </c>
      <c r="Z155" s="3" t="s">
        <v>1734</v>
      </c>
      <c r="AA155" s="2" t="s">
        <v>1735</v>
      </c>
    </row>
    <row r="156" customFormat="false" ht="229.5" hidden="false" customHeight="true" outlineLevel="0" collapsed="false">
      <c r="A156" s="2"/>
      <c r="B156" s="2" t="s">
        <v>1736</v>
      </c>
      <c r="C156" s="2"/>
      <c r="D156" s="2"/>
      <c r="E156" s="2" t="s">
        <v>56</v>
      </c>
      <c r="F156" s="2" t="s">
        <v>29</v>
      </c>
      <c r="G156" s="2" t="s">
        <v>30</v>
      </c>
      <c r="H156" s="2" t="s">
        <v>30</v>
      </c>
      <c r="I156" s="2" t="s">
        <v>1366</v>
      </c>
      <c r="J156" s="2"/>
      <c r="K156" s="2" t="s">
        <v>1366</v>
      </c>
      <c r="L156" s="2" t="s">
        <v>33</v>
      </c>
      <c r="M156" s="2"/>
      <c r="N156" s="3" t="s">
        <v>1366</v>
      </c>
      <c r="O156" s="3" t="s">
        <v>1737</v>
      </c>
      <c r="P156" s="2"/>
      <c r="Q156" s="2"/>
      <c r="R156" s="3" t="s">
        <v>1738</v>
      </c>
      <c r="S156" s="3" t="s">
        <v>1739</v>
      </c>
      <c r="T156" s="3"/>
      <c r="U156" s="3"/>
      <c r="V156" s="3" t="s">
        <v>1740</v>
      </c>
      <c r="W156" s="3"/>
      <c r="X156" s="2"/>
      <c r="Y156" s="2" t="s">
        <v>1741</v>
      </c>
      <c r="Z156" s="3" t="s">
        <v>1742</v>
      </c>
      <c r="AA156" s="2" t="s">
        <v>1743</v>
      </c>
    </row>
    <row r="157" customFormat="false" ht="87" hidden="false" customHeight="true" outlineLevel="0" collapsed="false">
      <c r="A157" s="2"/>
      <c r="B157" s="2" t="s">
        <v>1744</v>
      </c>
      <c r="C157" s="2" t="s">
        <v>550</v>
      </c>
      <c r="D157" s="2" t="s">
        <v>551</v>
      </c>
      <c r="E157" s="2" t="s">
        <v>56</v>
      </c>
      <c r="F157" s="2" t="s">
        <v>57</v>
      </c>
      <c r="G157" s="2" t="s">
        <v>30</v>
      </c>
      <c r="H157" s="2" t="s">
        <v>30</v>
      </c>
      <c r="I157" s="2" t="s">
        <v>1258</v>
      </c>
      <c r="J157" s="2" t="s">
        <v>1300</v>
      </c>
      <c r="K157" s="2" t="s">
        <v>165</v>
      </c>
      <c r="L157" s="2" t="s">
        <v>166</v>
      </c>
      <c r="M157" s="2" t="s">
        <v>153</v>
      </c>
      <c r="N157" s="3" t="s">
        <v>165</v>
      </c>
      <c r="O157" s="3" t="s">
        <v>1564</v>
      </c>
      <c r="P157" s="2"/>
      <c r="Q157" s="2"/>
      <c r="R157" s="3"/>
      <c r="S157" s="3"/>
      <c r="T157" s="3"/>
      <c r="U157" s="3"/>
      <c r="V157" s="3" t="s">
        <v>1745</v>
      </c>
      <c r="W157" s="3"/>
      <c r="X157" s="2"/>
      <c r="Y157" s="2" t="s">
        <v>1746</v>
      </c>
      <c r="Z157" s="3" t="s">
        <v>561</v>
      </c>
      <c r="AA157" s="2" t="s">
        <v>1747</v>
      </c>
    </row>
    <row r="158" customFormat="false" ht="87" hidden="false" customHeight="true" outlineLevel="0" collapsed="false">
      <c r="A158" s="2"/>
      <c r="B158" s="2" t="s">
        <v>1748</v>
      </c>
      <c r="C158" s="2" t="s">
        <v>550</v>
      </c>
      <c r="D158" s="2" t="s">
        <v>551</v>
      </c>
      <c r="E158" s="2" t="s">
        <v>56</v>
      </c>
      <c r="F158" s="2" t="s">
        <v>177</v>
      </c>
      <c r="G158" s="2" t="s">
        <v>30</v>
      </c>
      <c r="H158" s="2" t="s">
        <v>30</v>
      </c>
      <c r="I158" s="2" t="s">
        <v>1258</v>
      </c>
      <c r="J158" s="2" t="s">
        <v>1300</v>
      </c>
      <c r="K158" s="2" t="s">
        <v>165</v>
      </c>
      <c r="L158" s="2" t="s">
        <v>1658</v>
      </c>
      <c r="M158" s="2" t="s">
        <v>153</v>
      </c>
      <c r="N158" s="3" t="s">
        <v>1749</v>
      </c>
      <c r="O158" s="3" t="s">
        <v>297</v>
      </c>
      <c r="P158" s="2" t="s">
        <v>1750</v>
      </c>
      <c r="Q158" s="2"/>
      <c r="R158" s="3"/>
      <c r="S158" s="3" t="s">
        <v>1751</v>
      </c>
      <c r="T158" s="3" t="s">
        <v>1752</v>
      </c>
      <c r="U158" s="3" t="s">
        <v>1753</v>
      </c>
      <c r="V158" s="3"/>
      <c r="W158" s="3" t="s">
        <v>1754</v>
      </c>
      <c r="X158" s="2"/>
      <c r="Y158" s="2" t="s">
        <v>1755</v>
      </c>
      <c r="Z158" s="3" t="s">
        <v>561</v>
      </c>
      <c r="AA158" s="2" t="s">
        <v>1756</v>
      </c>
    </row>
    <row r="159" customFormat="false" ht="212.25" hidden="false" customHeight="true" outlineLevel="0" collapsed="false">
      <c r="A159" s="2"/>
      <c r="B159" s="2" t="s">
        <v>1757</v>
      </c>
      <c r="C159" s="2" t="s">
        <v>550</v>
      </c>
      <c r="D159" s="2" t="s">
        <v>551</v>
      </c>
      <c r="E159" s="2" t="s">
        <v>56</v>
      </c>
      <c r="F159" s="2" t="s">
        <v>177</v>
      </c>
      <c r="G159" s="2" t="s">
        <v>30</v>
      </c>
      <c r="H159" s="2" t="s">
        <v>30</v>
      </c>
      <c r="I159" s="2" t="s">
        <v>1758</v>
      </c>
      <c r="J159" s="2" t="s">
        <v>1759</v>
      </c>
      <c r="K159" s="2" t="s">
        <v>165</v>
      </c>
      <c r="L159" s="2" t="s">
        <v>166</v>
      </c>
      <c r="M159" s="2" t="s">
        <v>153</v>
      </c>
      <c r="N159" s="3" t="s">
        <v>165</v>
      </c>
      <c r="O159" s="3" t="s">
        <v>1760</v>
      </c>
      <c r="P159" s="2"/>
      <c r="Q159" s="2"/>
      <c r="R159" s="3"/>
      <c r="S159" s="3" t="s">
        <v>1761</v>
      </c>
      <c r="T159" s="3"/>
      <c r="U159" s="3"/>
      <c r="V159" s="3" t="s">
        <v>1762</v>
      </c>
      <c r="W159" s="3"/>
      <c r="X159" s="2"/>
      <c r="Y159" s="2" t="s">
        <v>1763</v>
      </c>
      <c r="Z159" s="3" t="s">
        <v>1764</v>
      </c>
      <c r="AA159" s="2" t="s">
        <v>1765</v>
      </c>
    </row>
    <row r="160" customFormat="false" ht="99.75" hidden="false" customHeight="true" outlineLevel="0" collapsed="false">
      <c r="A160" s="2"/>
      <c r="B160" s="2" t="s">
        <v>1766</v>
      </c>
      <c r="C160" s="2"/>
      <c r="D160" s="2" t="s">
        <v>1517</v>
      </c>
      <c r="E160" s="2" t="s">
        <v>56</v>
      </c>
      <c r="F160" s="2" t="s">
        <v>57</v>
      </c>
      <c r="G160" s="2" t="s">
        <v>30</v>
      </c>
      <c r="H160" s="2" t="s">
        <v>30</v>
      </c>
      <c r="I160" s="2" t="s">
        <v>1767</v>
      </c>
      <c r="J160" s="2" t="s">
        <v>1768</v>
      </c>
      <c r="K160" s="2" t="s">
        <v>74</v>
      </c>
      <c r="L160" s="2" t="s">
        <v>1594</v>
      </c>
      <c r="M160" s="2" t="s">
        <v>295</v>
      </c>
      <c r="N160" s="3" t="s">
        <v>1769</v>
      </c>
      <c r="O160" s="3" t="s">
        <v>1770</v>
      </c>
      <c r="P160" s="2" t="s">
        <v>1771</v>
      </c>
      <c r="Q160" s="2"/>
      <c r="R160" s="3" t="s">
        <v>1738</v>
      </c>
      <c r="S160" s="3" t="s">
        <v>1772</v>
      </c>
      <c r="T160" s="3" t="s">
        <v>1773</v>
      </c>
      <c r="U160" s="3" t="s">
        <v>1774</v>
      </c>
      <c r="V160" s="3" t="s">
        <v>1775</v>
      </c>
      <c r="W160" s="3"/>
      <c r="X160" s="2"/>
      <c r="Y160" s="2" t="s">
        <v>1776</v>
      </c>
      <c r="Z160" s="3" t="s">
        <v>1777</v>
      </c>
      <c r="AA160" s="2" t="s">
        <v>1778</v>
      </c>
    </row>
    <row r="161" customFormat="false" ht="112.5" hidden="false" customHeight="true" outlineLevel="0" collapsed="false">
      <c r="A161" s="2"/>
      <c r="B161" s="2" t="s">
        <v>1779</v>
      </c>
      <c r="C161" s="2"/>
      <c r="D161" s="2"/>
      <c r="E161" s="2" t="s">
        <v>56</v>
      </c>
      <c r="F161" s="2" t="s">
        <v>29</v>
      </c>
      <c r="G161" s="2" t="s">
        <v>30</v>
      </c>
      <c r="H161" s="2" t="s">
        <v>30</v>
      </c>
      <c r="I161" s="2" t="s">
        <v>1366</v>
      </c>
      <c r="J161" s="2"/>
      <c r="K161" s="2" t="s">
        <v>1368</v>
      </c>
      <c r="L161" s="2" t="s">
        <v>33</v>
      </c>
      <c r="M161" s="2"/>
      <c r="N161" s="3" t="s">
        <v>1368</v>
      </c>
      <c r="O161" s="3" t="s">
        <v>1780</v>
      </c>
      <c r="P161" s="2"/>
      <c r="Q161" s="2" t="s">
        <v>1366</v>
      </c>
      <c r="R161" s="3" t="s">
        <v>1781</v>
      </c>
      <c r="S161" s="3" t="s">
        <v>1782</v>
      </c>
      <c r="T161" s="3"/>
      <c r="U161" s="3"/>
      <c r="V161" s="3" t="s">
        <v>1783</v>
      </c>
      <c r="W161" s="3"/>
      <c r="X161" s="2"/>
      <c r="Y161" s="2" t="s">
        <v>1784</v>
      </c>
      <c r="Z161" s="3" t="s">
        <v>1785</v>
      </c>
      <c r="AA161" s="2" t="s">
        <v>1786</v>
      </c>
    </row>
    <row r="162" customFormat="false" ht="87" hidden="false" customHeight="true" outlineLevel="0" collapsed="false">
      <c r="A162" s="2"/>
      <c r="B162" s="2" t="s">
        <v>1787</v>
      </c>
      <c r="C162" s="2" t="s">
        <v>550</v>
      </c>
      <c r="D162" s="2" t="s">
        <v>551</v>
      </c>
      <c r="E162" s="2" t="s">
        <v>56</v>
      </c>
      <c r="F162" s="2" t="s">
        <v>57</v>
      </c>
      <c r="G162" s="2" t="s">
        <v>30</v>
      </c>
      <c r="H162" s="2" t="s">
        <v>30</v>
      </c>
      <c r="I162" s="2" t="s">
        <v>1509</v>
      </c>
      <c r="J162" s="2" t="s">
        <v>504</v>
      </c>
      <c r="K162" s="2" t="s">
        <v>1704</v>
      </c>
      <c r="L162" s="2" t="s">
        <v>1705</v>
      </c>
      <c r="M162" s="2" t="s">
        <v>153</v>
      </c>
      <c r="N162" s="3" t="s">
        <v>1704</v>
      </c>
      <c r="O162" s="3" t="s">
        <v>1788</v>
      </c>
      <c r="P162" s="2" t="s">
        <v>1672</v>
      </c>
      <c r="Q162" s="2"/>
      <c r="R162" s="3"/>
      <c r="S162" s="3" t="s">
        <v>1789</v>
      </c>
      <c r="T162" s="3" t="s">
        <v>1790</v>
      </c>
      <c r="U162" s="3" t="s">
        <v>1791</v>
      </c>
      <c r="V162" s="3" t="s">
        <v>1792</v>
      </c>
      <c r="W162" s="3"/>
      <c r="X162" s="2"/>
      <c r="Y162" s="2" t="s">
        <v>1793</v>
      </c>
      <c r="Z162" s="3" t="s">
        <v>561</v>
      </c>
      <c r="AA162" s="2" t="s">
        <v>1794</v>
      </c>
    </row>
    <row r="163" customFormat="false" ht="75" hidden="false" customHeight="true" outlineLevel="0" collapsed="false">
      <c r="A163" s="2"/>
      <c r="B163" s="2" t="s">
        <v>1795</v>
      </c>
      <c r="C163" s="2" t="s">
        <v>550</v>
      </c>
      <c r="D163" s="2" t="s">
        <v>551</v>
      </c>
      <c r="E163" s="2" t="s">
        <v>56</v>
      </c>
      <c r="F163" s="2" t="s">
        <v>57</v>
      </c>
      <c r="G163" s="2" t="s">
        <v>30</v>
      </c>
      <c r="H163" s="2" t="s">
        <v>30</v>
      </c>
      <c r="I163" s="2" t="s">
        <v>1796</v>
      </c>
      <c r="J163" s="2"/>
      <c r="K163" s="2" t="s">
        <v>165</v>
      </c>
      <c r="L163" s="2" t="s">
        <v>1658</v>
      </c>
      <c r="M163" s="2" t="s">
        <v>153</v>
      </c>
      <c r="N163" s="3" t="s">
        <v>1797</v>
      </c>
      <c r="O163" s="3" t="s">
        <v>297</v>
      </c>
      <c r="P163" s="2" t="s">
        <v>1798</v>
      </c>
      <c r="Q163" s="2"/>
      <c r="R163" s="3"/>
      <c r="S163" s="3" t="s">
        <v>1799</v>
      </c>
      <c r="T163" s="3" t="s">
        <v>1800</v>
      </c>
      <c r="U163" s="3" t="s">
        <v>1801</v>
      </c>
      <c r="V163" s="3" t="s">
        <v>1802</v>
      </c>
      <c r="W163" s="3" t="s">
        <v>1803</v>
      </c>
      <c r="X163" s="2"/>
      <c r="Y163" s="2" t="s">
        <v>1804</v>
      </c>
      <c r="Z163" s="3" t="s">
        <v>561</v>
      </c>
      <c r="AA163" s="2" t="s">
        <v>1805</v>
      </c>
    </row>
    <row r="164" customFormat="false" ht="162" hidden="false" customHeight="true" outlineLevel="0" collapsed="false">
      <c r="A164" s="2"/>
      <c r="B164" s="2" t="s">
        <v>1806</v>
      </c>
      <c r="C164" s="2" t="s">
        <v>550</v>
      </c>
      <c r="D164" s="2" t="s">
        <v>551</v>
      </c>
      <c r="E164" s="2" t="s">
        <v>56</v>
      </c>
      <c r="F164" s="2" t="s">
        <v>29</v>
      </c>
      <c r="G164" s="2" t="s">
        <v>30</v>
      </c>
      <c r="H164" s="2" t="s">
        <v>30</v>
      </c>
      <c r="I164" s="2" t="s">
        <v>494</v>
      </c>
      <c r="J164" s="2"/>
      <c r="K164" s="2" t="s">
        <v>165</v>
      </c>
      <c r="L164" s="2" t="s">
        <v>1658</v>
      </c>
      <c r="M164" s="2" t="s">
        <v>153</v>
      </c>
      <c r="N164" s="3" t="s">
        <v>1797</v>
      </c>
      <c r="O164" s="3" t="s">
        <v>1807</v>
      </c>
      <c r="P164" s="2" t="s">
        <v>1808</v>
      </c>
      <c r="Q164" s="2"/>
      <c r="R164" s="3"/>
      <c r="S164" s="3" t="s">
        <v>1809</v>
      </c>
      <c r="T164" s="3" t="s">
        <v>1810</v>
      </c>
      <c r="U164" s="3" t="s">
        <v>1811</v>
      </c>
      <c r="V164" s="3" t="s">
        <v>1812</v>
      </c>
      <c r="W164" s="3" t="s">
        <v>1813</v>
      </c>
      <c r="X164" s="2" t="s">
        <v>1814</v>
      </c>
      <c r="Y164" s="2" t="s">
        <v>1815</v>
      </c>
      <c r="Z164" s="3" t="s">
        <v>561</v>
      </c>
      <c r="AA164" s="2" t="s">
        <v>1816</v>
      </c>
    </row>
    <row r="165" customFormat="false" ht="87" hidden="false" customHeight="true" outlineLevel="0" collapsed="false">
      <c r="A165" s="2"/>
      <c r="B165" s="2" t="s">
        <v>1817</v>
      </c>
      <c r="C165" s="2"/>
      <c r="D165" s="2"/>
      <c r="E165" s="2" t="s">
        <v>56</v>
      </c>
      <c r="F165" s="2" t="s">
        <v>29</v>
      </c>
      <c r="G165" s="2" t="s">
        <v>30</v>
      </c>
      <c r="H165" s="2" t="s">
        <v>30</v>
      </c>
      <c r="I165" s="2" t="s">
        <v>1818</v>
      </c>
      <c r="J165" s="2" t="s">
        <v>1819</v>
      </c>
      <c r="K165" s="2" t="s">
        <v>1820</v>
      </c>
      <c r="L165" s="2" t="s">
        <v>1594</v>
      </c>
      <c r="M165" s="2" t="s">
        <v>1821</v>
      </c>
      <c r="N165" s="3" t="s">
        <v>1822</v>
      </c>
      <c r="O165" s="3" t="s">
        <v>1823</v>
      </c>
      <c r="P165" s="2"/>
      <c r="Q165" s="2"/>
      <c r="R165" s="3" t="s">
        <v>1738</v>
      </c>
      <c r="S165" s="3" t="s">
        <v>1824</v>
      </c>
      <c r="T165" s="3" t="s">
        <v>1825</v>
      </c>
      <c r="U165" s="3" t="s">
        <v>1826</v>
      </c>
      <c r="V165" s="3" t="s">
        <v>1827</v>
      </c>
      <c r="W165" s="3"/>
      <c r="X165" s="2"/>
      <c r="Y165" s="2" t="s">
        <v>1828</v>
      </c>
      <c r="Z165" s="3"/>
      <c r="AA165" s="2" t="s">
        <v>1829</v>
      </c>
    </row>
    <row r="166" customFormat="false" ht="75" hidden="false" customHeight="true" outlineLevel="0" collapsed="false">
      <c r="A166" s="2"/>
      <c r="B166" s="2" t="s">
        <v>1830</v>
      </c>
      <c r="C166" s="2" t="s">
        <v>550</v>
      </c>
      <c r="D166" s="2" t="s">
        <v>551</v>
      </c>
      <c r="E166" s="2" t="s">
        <v>56</v>
      </c>
      <c r="F166" s="2" t="s">
        <v>177</v>
      </c>
      <c r="G166" s="2" t="s">
        <v>30</v>
      </c>
      <c r="H166" s="2" t="s">
        <v>30</v>
      </c>
      <c r="I166" s="2" t="s">
        <v>1289</v>
      </c>
      <c r="J166" s="2" t="s">
        <v>1831</v>
      </c>
      <c r="K166" s="2" t="s">
        <v>1704</v>
      </c>
      <c r="L166" s="2" t="s">
        <v>1705</v>
      </c>
      <c r="M166" s="2" t="s">
        <v>153</v>
      </c>
      <c r="N166" s="3" t="s">
        <v>1832</v>
      </c>
      <c r="O166" s="3" t="s">
        <v>1833</v>
      </c>
      <c r="P166" s="2" t="s">
        <v>1834</v>
      </c>
      <c r="Q166" s="2"/>
      <c r="R166" s="3"/>
      <c r="S166" s="3" t="s">
        <v>1835</v>
      </c>
      <c r="T166" s="3" t="s">
        <v>1836</v>
      </c>
      <c r="U166" s="3" t="s">
        <v>1837</v>
      </c>
      <c r="V166" s="3" t="s">
        <v>1838</v>
      </c>
      <c r="W166" s="3"/>
      <c r="X166" s="2"/>
      <c r="Y166" s="2" t="s">
        <v>1839</v>
      </c>
      <c r="Z166" s="3" t="s">
        <v>561</v>
      </c>
      <c r="AA166" s="2" t="s">
        <v>1840</v>
      </c>
    </row>
    <row r="167" customFormat="false" ht="137.25" hidden="false" customHeight="true" outlineLevel="0" collapsed="false">
      <c r="A167" s="2"/>
      <c r="B167" s="2" t="s">
        <v>1841</v>
      </c>
      <c r="C167" s="2"/>
      <c r="D167" s="2"/>
      <c r="E167" s="2" t="s">
        <v>28</v>
      </c>
      <c r="F167" s="2" t="s">
        <v>177</v>
      </c>
      <c r="G167" s="2" t="s">
        <v>30</v>
      </c>
      <c r="H167" s="2" t="s">
        <v>30</v>
      </c>
      <c r="I167" s="2" t="s">
        <v>1842</v>
      </c>
      <c r="J167" s="2" t="s">
        <v>1843</v>
      </c>
      <c r="K167" s="2" t="s">
        <v>74</v>
      </c>
      <c r="L167" s="2" t="s">
        <v>1594</v>
      </c>
      <c r="M167" s="2" t="s">
        <v>295</v>
      </c>
      <c r="N167" s="3" t="s">
        <v>74</v>
      </c>
      <c r="O167" s="3" t="s">
        <v>1844</v>
      </c>
      <c r="P167" s="2" t="s">
        <v>1834</v>
      </c>
      <c r="Q167" s="2"/>
      <c r="R167" s="3" t="s">
        <v>1845</v>
      </c>
      <c r="S167" s="3" t="s">
        <v>1846</v>
      </c>
      <c r="T167" s="3" t="s">
        <v>1847</v>
      </c>
      <c r="U167" s="3" t="s">
        <v>1848</v>
      </c>
      <c r="V167" s="3" t="s">
        <v>1849</v>
      </c>
      <c r="W167" s="3"/>
      <c r="X167" s="2"/>
      <c r="Y167" s="2" t="s">
        <v>1850</v>
      </c>
      <c r="Z167" s="3" t="s">
        <v>1851</v>
      </c>
      <c r="AA167" s="2" t="s">
        <v>1852</v>
      </c>
    </row>
    <row r="168" customFormat="false" ht="75" hidden="false" customHeight="true" outlineLevel="0" collapsed="false">
      <c r="A168" s="2"/>
      <c r="B168" s="2" t="s">
        <v>1853</v>
      </c>
      <c r="C168" s="2" t="s">
        <v>86</v>
      </c>
      <c r="D168" s="2"/>
      <c r="E168" s="2" t="s">
        <v>56</v>
      </c>
      <c r="F168" s="2" t="s">
        <v>29</v>
      </c>
      <c r="G168" s="2" t="s">
        <v>30</v>
      </c>
      <c r="H168" s="2" t="s">
        <v>30</v>
      </c>
      <c r="I168" s="2" t="s">
        <v>482</v>
      </c>
      <c r="J168" s="2" t="s">
        <v>293</v>
      </c>
      <c r="K168" s="2" t="s">
        <v>654</v>
      </c>
      <c r="L168" s="2" t="s">
        <v>1594</v>
      </c>
      <c r="M168" s="2" t="s">
        <v>295</v>
      </c>
      <c r="N168" s="3" t="s">
        <v>1854</v>
      </c>
      <c r="O168" s="3" t="s">
        <v>1844</v>
      </c>
      <c r="P168" s="2"/>
      <c r="Q168" s="2"/>
      <c r="R168" s="3"/>
      <c r="S168" s="3" t="s">
        <v>1855</v>
      </c>
      <c r="T168" s="3" t="s">
        <v>1856</v>
      </c>
      <c r="U168" s="3" t="s">
        <v>1857</v>
      </c>
      <c r="V168" s="3" t="s">
        <v>1858</v>
      </c>
      <c r="W168" s="3" t="s">
        <v>1859</v>
      </c>
      <c r="X168" s="2"/>
      <c r="Y168" s="2" t="s">
        <v>1860</v>
      </c>
      <c r="Z168" s="3" t="s">
        <v>1861</v>
      </c>
      <c r="AA168" s="2" t="s">
        <v>1862</v>
      </c>
    </row>
    <row r="169" customFormat="false" ht="99.75" hidden="false" customHeight="true" outlineLevel="0" collapsed="false">
      <c r="A169" s="2"/>
      <c r="B169" s="2" t="s">
        <v>1863</v>
      </c>
      <c r="C169" s="2"/>
      <c r="D169" s="2"/>
      <c r="E169" s="2" t="s">
        <v>56</v>
      </c>
      <c r="F169" s="2" t="s">
        <v>29</v>
      </c>
      <c r="G169" s="2" t="s">
        <v>30</v>
      </c>
      <c r="H169" s="2" t="s">
        <v>30</v>
      </c>
      <c r="I169" s="2" t="s">
        <v>1562</v>
      </c>
      <c r="J169" s="2" t="s">
        <v>1563</v>
      </c>
      <c r="K169" s="2" t="s">
        <v>592</v>
      </c>
      <c r="L169" s="2" t="s">
        <v>1594</v>
      </c>
      <c r="M169" s="2" t="s">
        <v>295</v>
      </c>
      <c r="N169" s="3" t="s">
        <v>1864</v>
      </c>
      <c r="O169" s="3" t="s">
        <v>1844</v>
      </c>
      <c r="P169" s="2"/>
      <c r="Q169" s="2"/>
      <c r="R169" s="3" t="s">
        <v>1738</v>
      </c>
      <c r="S169" s="3" t="s">
        <v>1865</v>
      </c>
      <c r="T169" s="3" t="s">
        <v>1866</v>
      </c>
      <c r="U169" s="3" t="s">
        <v>1867</v>
      </c>
      <c r="V169" s="3" t="s">
        <v>1868</v>
      </c>
      <c r="W169" s="3"/>
      <c r="X169" s="2"/>
      <c r="Y169" s="2" t="s">
        <v>1869</v>
      </c>
      <c r="Z169" s="3"/>
      <c r="AA169" s="2" t="s">
        <v>1870</v>
      </c>
    </row>
    <row r="170" customFormat="false" ht="75" hidden="false" customHeight="true" outlineLevel="0" collapsed="false">
      <c r="A170" s="2"/>
      <c r="B170" s="2" t="s">
        <v>1871</v>
      </c>
      <c r="C170" s="2"/>
      <c r="D170" s="2"/>
      <c r="E170" s="2" t="s">
        <v>28</v>
      </c>
      <c r="F170" s="2" t="s">
        <v>29</v>
      </c>
      <c r="G170" s="2" t="s">
        <v>30</v>
      </c>
      <c r="H170" s="2" t="s">
        <v>30</v>
      </c>
      <c r="I170" s="2" t="s">
        <v>1872</v>
      </c>
      <c r="J170" s="2"/>
      <c r="K170" s="2" t="s">
        <v>90</v>
      </c>
      <c r="L170" s="2" t="s">
        <v>1594</v>
      </c>
      <c r="M170" s="2" t="s">
        <v>91</v>
      </c>
      <c r="N170" s="3" t="s">
        <v>1873</v>
      </c>
      <c r="O170" s="3" t="s">
        <v>297</v>
      </c>
      <c r="P170" s="2" t="s">
        <v>1196</v>
      </c>
      <c r="Q170" s="2" t="s">
        <v>429</v>
      </c>
      <c r="R170" s="3"/>
      <c r="S170" s="3" t="s">
        <v>1874</v>
      </c>
      <c r="T170" s="3" t="s">
        <v>1875</v>
      </c>
      <c r="U170" s="3" t="s">
        <v>1876</v>
      </c>
      <c r="V170" s="3" t="s">
        <v>1877</v>
      </c>
      <c r="W170" s="3"/>
      <c r="X170" s="2"/>
      <c r="Y170" s="2" t="s">
        <v>1878</v>
      </c>
      <c r="Z170" s="3"/>
      <c r="AA170" s="2" t="s">
        <v>1879</v>
      </c>
    </row>
    <row r="171" customFormat="false" ht="229.5" hidden="false" customHeight="true" outlineLevel="0" collapsed="false">
      <c r="A171" s="2"/>
      <c r="B171" s="2" t="s">
        <v>1880</v>
      </c>
      <c r="C171" s="2"/>
      <c r="D171" s="2"/>
      <c r="E171" s="2" t="s">
        <v>56</v>
      </c>
      <c r="F171" s="2" t="s">
        <v>29</v>
      </c>
      <c r="G171" s="2" t="s">
        <v>30</v>
      </c>
      <c r="H171" s="2" t="s">
        <v>30</v>
      </c>
      <c r="I171" s="2" t="s">
        <v>1638</v>
      </c>
      <c r="J171" s="2"/>
      <c r="K171" s="2" t="s">
        <v>1820</v>
      </c>
      <c r="L171" s="2" t="s">
        <v>1594</v>
      </c>
      <c r="M171" s="2" t="s">
        <v>1821</v>
      </c>
      <c r="N171" s="3" t="s">
        <v>1820</v>
      </c>
      <c r="O171" s="3" t="s">
        <v>297</v>
      </c>
      <c r="P171" s="2"/>
      <c r="Q171" s="2" t="s">
        <v>507</v>
      </c>
      <c r="R171" s="3"/>
      <c r="S171" s="3" t="s">
        <v>1881</v>
      </c>
      <c r="T171" s="3" t="s">
        <v>1882</v>
      </c>
      <c r="U171" s="3" t="s">
        <v>1883</v>
      </c>
      <c r="V171" s="3" t="s">
        <v>512</v>
      </c>
      <c r="W171" s="3"/>
      <c r="X171" s="2"/>
      <c r="Y171" s="2" t="s">
        <v>1884</v>
      </c>
      <c r="Z171" s="3" t="s">
        <v>512</v>
      </c>
      <c r="AA171" s="2" t="s">
        <v>1885</v>
      </c>
    </row>
    <row r="172" customFormat="false" ht="229.5" hidden="false" customHeight="true" outlineLevel="0" collapsed="false">
      <c r="A172" s="2"/>
      <c r="B172" s="2" t="s">
        <v>1886</v>
      </c>
      <c r="C172" s="2"/>
      <c r="D172" s="2"/>
      <c r="E172" s="2" t="s">
        <v>56</v>
      </c>
      <c r="F172" s="2" t="s">
        <v>29</v>
      </c>
      <c r="G172" s="2" t="s">
        <v>30</v>
      </c>
      <c r="H172" s="2" t="s">
        <v>30</v>
      </c>
      <c r="I172" s="2" t="s">
        <v>1541</v>
      </c>
      <c r="J172" s="2"/>
      <c r="K172" s="2" t="s">
        <v>309</v>
      </c>
      <c r="L172" s="2" t="s">
        <v>1594</v>
      </c>
      <c r="M172" s="2" t="s">
        <v>295</v>
      </c>
      <c r="N172" s="3" t="s">
        <v>309</v>
      </c>
      <c r="O172" s="3" t="s">
        <v>297</v>
      </c>
      <c r="P172" s="2"/>
      <c r="Q172" s="2" t="s">
        <v>507</v>
      </c>
      <c r="R172" s="3"/>
      <c r="S172" s="3" t="s">
        <v>1887</v>
      </c>
      <c r="T172" s="3" t="s">
        <v>1888</v>
      </c>
      <c r="U172" s="3" t="s">
        <v>1889</v>
      </c>
      <c r="V172" s="3" t="s">
        <v>512</v>
      </c>
      <c r="W172" s="3"/>
      <c r="X172" s="2"/>
      <c r="Y172" s="2" t="s">
        <v>1890</v>
      </c>
      <c r="Z172" s="3" t="s">
        <v>512</v>
      </c>
      <c r="AA172" s="2" t="s">
        <v>1891</v>
      </c>
    </row>
    <row r="173" customFormat="false" ht="75" hidden="false" customHeight="true" outlineLevel="0" collapsed="false">
      <c r="A173" s="2"/>
      <c r="B173" s="2" t="s">
        <v>1892</v>
      </c>
      <c r="C173" s="2" t="s">
        <v>86</v>
      </c>
      <c r="D173" s="2"/>
      <c r="E173" s="2" t="s">
        <v>56</v>
      </c>
      <c r="F173" s="2" t="s">
        <v>29</v>
      </c>
      <c r="G173" s="2" t="s">
        <v>30</v>
      </c>
      <c r="H173" s="2" t="s">
        <v>30</v>
      </c>
      <c r="I173" s="2" t="s">
        <v>1893</v>
      </c>
      <c r="J173" s="2" t="s">
        <v>1894</v>
      </c>
      <c r="K173" s="2" t="s">
        <v>695</v>
      </c>
      <c r="L173" s="2" t="s">
        <v>696</v>
      </c>
      <c r="M173" s="2" t="s">
        <v>153</v>
      </c>
      <c r="N173" s="3" t="s">
        <v>1895</v>
      </c>
      <c r="O173" s="3" t="s">
        <v>1844</v>
      </c>
      <c r="P173" s="2"/>
      <c r="Q173" s="2"/>
      <c r="R173" s="3"/>
      <c r="S173" s="3" t="s">
        <v>1896</v>
      </c>
      <c r="T173" s="3" t="s">
        <v>1897</v>
      </c>
      <c r="U173" s="3" t="s">
        <v>1898</v>
      </c>
      <c r="V173" s="3" t="s">
        <v>1858</v>
      </c>
      <c r="W173" s="3"/>
      <c r="X173" s="2"/>
      <c r="Y173" s="2" t="s">
        <v>1899</v>
      </c>
      <c r="Z173" s="3" t="s">
        <v>1861</v>
      </c>
      <c r="AA173" s="2" t="s">
        <v>1900</v>
      </c>
    </row>
    <row r="174" customFormat="false" ht="87" hidden="false" customHeight="true" outlineLevel="0" collapsed="false">
      <c r="A174" s="2"/>
      <c r="B174" s="2" t="s">
        <v>1901</v>
      </c>
      <c r="C174" s="2" t="s">
        <v>86</v>
      </c>
      <c r="D174" s="2"/>
      <c r="E174" s="2" t="s">
        <v>56</v>
      </c>
      <c r="F174" s="2" t="s">
        <v>29</v>
      </c>
      <c r="G174" s="2" t="s">
        <v>30</v>
      </c>
      <c r="H174" s="2" t="s">
        <v>30</v>
      </c>
      <c r="I174" s="2" t="s">
        <v>1313</v>
      </c>
      <c r="J174" s="2" t="s">
        <v>1563</v>
      </c>
      <c r="K174" s="2" t="s">
        <v>309</v>
      </c>
      <c r="L174" s="2" t="s">
        <v>1594</v>
      </c>
      <c r="M174" s="2" t="s">
        <v>295</v>
      </c>
      <c r="N174" s="3" t="s">
        <v>1902</v>
      </c>
      <c r="O174" s="3" t="s">
        <v>1844</v>
      </c>
      <c r="P174" s="2"/>
      <c r="Q174" s="2"/>
      <c r="R174" s="3"/>
      <c r="S174" s="3" t="s">
        <v>1903</v>
      </c>
      <c r="T174" s="3" t="s">
        <v>1904</v>
      </c>
      <c r="U174" s="3" t="s">
        <v>1905</v>
      </c>
      <c r="V174" s="3" t="s">
        <v>1858</v>
      </c>
      <c r="W174" s="3"/>
      <c r="X174" s="2"/>
      <c r="Y174" s="2" t="s">
        <v>1906</v>
      </c>
      <c r="Z174" s="3" t="s">
        <v>1861</v>
      </c>
      <c r="AA174" s="2" t="s">
        <v>1907</v>
      </c>
    </row>
    <row r="175" customFormat="false" ht="229.5" hidden="false" customHeight="true" outlineLevel="0" collapsed="false">
      <c r="A175" s="2"/>
      <c r="B175" s="2" t="s">
        <v>1908</v>
      </c>
      <c r="C175" s="2"/>
      <c r="D175" s="2"/>
      <c r="E175" s="2" t="s">
        <v>56</v>
      </c>
      <c r="F175" s="2" t="s">
        <v>29</v>
      </c>
      <c r="G175" s="2" t="s">
        <v>30</v>
      </c>
      <c r="H175" s="2" t="s">
        <v>30</v>
      </c>
      <c r="I175" s="2" t="s">
        <v>1909</v>
      </c>
      <c r="J175" s="2"/>
      <c r="K175" s="2" t="s">
        <v>1429</v>
      </c>
      <c r="L175" s="2" t="s">
        <v>1594</v>
      </c>
      <c r="M175" s="2" t="s">
        <v>91</v>
      </c>
      <c r="N175" s="3" t="s">
        <v>1429</v>
      </c>
      <c r="O175" s="3" t="s">
        <v>297</v>
      </c>
      <c r="P175" s="2"/>
      <c r="Q175" s="2" t="s">
        <v>507</v>
      </c>
      <c r="R175" s="3"/>
      <c r="S175" s="3" t="s">
        <v>1910</v>
      </c>
      <c r="T175" s="3" t="s">
        <v>1911</v>
      </c>
      <c r="U175" s="3" t="s">
        <v>1912</v>
      </c>
      <c r="V175" s="3" t="s">
        <v>1913</v>
      </c>
      <c r="W175" s="3"/>
      <c r="X175" s="2"/>
      <c r="Y175" s="2" t="s">
        <v>1914</v>
      </c>
      <c r="Z175" s="3" t="s">
        <v>512</v>
      </c>
      <c r="AA175" s="2" t="s">
        <v>1915</v>
      </c>
    </row>
    <row r="176" customFormat="false" ht="229.5" hidden="false" customHeight="true" outlineLevel="0" collapsed="false">
      <c r="A176" s="2"/>
      <c r="B176" s="2" t="s">
        <v>1916</v>
      </c>
      <c r="C176" s="2"/>
      <c r="D176" s="2"/>
      <c r="E176" s="2" t="s">
        <v>56</v>
      </c>
      <c r="F176" s="2" t="s">
        <v>29</v>
      </c>
      <c r="G176" s="2" t="s">
        <v>30</v>
      </c>
      <c r="H176" s="2" t="s">
        <v>30</v>
      </c>
      <c r="I176" s="2" t="s">
        <v>463</v>
      </c>
      <c r="J176" s="2"/>
      <c r="K176" s="2" t="s">
        <v>309</v>
      </c>
      <c r="L176" s="2" t="s">
        <v>1594</v>
      </c>
      <c r="M176" s="2" t="s">
        <v>295</v>
      </c>
      <c r="N176" s="3" t="s">
        <v>309</v>
      </c>
      <c r="O176" s="3" t="s">
        <v>297</v>
      </c>
      <c r="P176" s="2"/>
      <c r="Q176" s="2" t="s">
        <v>507</v>
      </c>
      <c r="R176" s="3"/>
      <c r="S176" s="3" t="s">
        <v>1917</v>
      </c>
      <c r="T176" s="3" t="s">
        <v>1918</v>
      </c>
      <c r="U176" s="3" t="s">
        <v>1919</v>
      </c>
      <c r="V176" s="3" t="s">
        <v>1920</v>
      </c>
      <c r="W176" s="3"/>
      <c r="X176" s="2"/>
      <c r="Y176" s="2" t="s">
        <v>1921</v>
      </c>
      <c r="Z176" s="3" t="s">
        <v>1920</v>
      </c>
      <c r="AA176" s="2" t="s">
        <v>1922</v>
      </c>
    </row>
    <row r="177" customFormat="false" ht="75" hidden="false" customHeight="true" outlineLevel="0" collapsed="false">
      <c r="A177" s="2"/>
      <c r="B177" s="2" t="s">
        <v>1923</v>
      </c>
      <c r="C177" s="2" t="s">
        <v>86</v>
      </c>
      <c r="D177" s="2"/>
      <c r="E177" s="2" t="s">
        <v>56</v>
      </c>
      <c r="F177" s="2" t="s">
        <v>29</v>
      </c>
      <c r="G177" s="2" t="s">
        <v>30</v>
      </c>
      <c r="H177" s="2" t="s">
        <v>30</v>
      </c>
      <c r="I177" s="2" t="s">
        <v>216</v>
      </c>
      <c r="J177" s="2" t="s">
        <v>463</v>
      </c>
      <c r="K177" s="2" t="s">
        <v>1429</v>
      </c>
      <c r="L177" s="2" t="s">
        <v>1594</v>
      </c>
      <c r="M177" s="2" t="s">
        <v>91</v>
      </c>
      <c r="N177" s="3" t="s">
        <v>1924</v>
      </c>
      <c r="O177" s="3" t="s">
        <v>1925</v>
      </c>
      <c r="P177" s="2"/>
      <c r="Q177" s="2"/>
      <c r="R177" s="3"/>
      <c r="S177" s="3" t="s">
        <v>1926</v>
      </c>
      <c r="T177" s="3" t="s">
        <v>1927</v>
      </c>
      <c r="U177" s="3" t="s">
        <v>1928</v>
      </c>
      <c r="V177" s="3" t="s">
        <v>1858</v>
      </c>
      <c r="W177" s="3"/>
      <c r="X177" s="2"/>
      <c r="Y177" s="2" t="s">
        <v>1929</v>
      </c>
      <c r="Z177" s="3" t="s">
        <v>1861</v>
      </c>
      <c r="AA177" s="2" t="s">
        <v>1930</v>
      </c>
    </row>
    <row r="178" customFormat="false" ht="87" hidden="false" customHeight="true" outlineLevel="0" collapsed="false">
      <c r="A178" s="2"/>
      <c r="B178" s="2" t="s">
        <v>1931</v>
      </c>
      <c r="C178" s="2" t="s">
        <v>86</v>
      </c>
      <c r="D178" s="2"/>
      <c r="E178" s="2" t="s">
        <v>56</v>
      </c>
      <c r="F178" s="2" t="s">
        <v>29</v>
      </c>
      <c r="G178" s="2" t="s">
        <v>30</v>
      </c>
      <c r="H178" s="2" t="s">
        <v>30</v>
      </c>
      <c r="I178" s="2" t="s">
        <v>602</v>
      </c>
      <c r="J178" s="2" t="s">
        <v>540</v>
      </c>
      <c r="K178" s="2" t="s">
        <v>612</v>
      </c>
      <c r="L178" s="2" t="s">
        <v>1594</v>
      </c>
      <c r="M178" s="2" t="s">
        <v>1821</v>
      </c>
      <c r="N178" s="3" t="s">
        <v>1932</v>
      </c>
      <c r="O178" s="3" t="s">
        <v>1823</v>
      </c>
      <c r="P178" s="2"/>
      <c r="Q178" s="2"/>
      <c r="R178" s="3"/>
      <c r="S178" s="3" t="s">
        <v>1933</v>
      </c>
      <c r="T178" s="3" t="s">
        <v>1934</v>
      </c>
      <c r="U178" s="3" t="s">
        <v>1935</v>
      </c>
      <c r="V178" s="3" t="s">
        <v>1858</v>
      </c>
      <c r="W178" s="3"/>
      <c r="X178" s="2"/>
      <c r="Y178" s="2" t="s">
        <v>1936</v>
      </c>
      <c r="Z178" s="3" t="s">
        <v>1861</v>
      </c>
      <c r="AA178" s="2" t="s">
        <v>1937</v>
      </c>
    </row>
    <row r="179" customFormat="false" ht="75" hidden="false" customHeight="true" outlineLevel="0" collapsed="false">
      <c r="A179" s="2"/>
      <c r="B179" s="2" t="s">
        <v>1938</v>
      </c>
      <c r="C179" s="2" t="s">
        <v>550</v>
      </c>
      <c r="D179" s="2" t="s">
        <v>551</v>
      </c>
      <c r="E179" s="2" t="s">
        <v>56</v>
      </c>
      <c r="F179" s="2" t="s">
        <v>29</v>
      </c>
      <c r="G179" s="2" t="s">
        <v>30</v>
      </c>
      <c r="H179" s="2" t="s">
        <v>30</v>
      </c>
      <c r="I179" s="2" t="s">
        <v>504</v>
      </c>
      <c r="J179" s="2"/>
      <c r="K179" s="2" t="s">
        <v>165</v>
      </c>
      <c r="L179" s="2" t="s">
        <v>1658</v>
      </c>
      <c r="M179" s="2" t="s">
        <v>153</v>
      </c>
      <c r="N179" s="3" t="s">
        <v>165</v>
      </c>
      <c r="O179" s="3" t="s">
        <v>297</v>
      </c>
      <c r="P179" s="2"/>
      <c r="Q179" s="2"/>
      <c r="R179" s="3"/>
      <c r="S179" s="3" t="s">
        <v>1939</v>
      </c>
      <c r="T179" s="3" t="s">
        <v>1940</v>
      </c>
      <c r="U179" s="3" t="s">
        <v>1941</v>
      </c>
      <c r="V179" s="3"/>
      <c r="W179" s="3" t="s">
        <v>1942</v>
      </c>
      <c r="X179" s="2" t="s">
        <v>1943</v>
      </c>
      <c r="Y179" s="2" t="s">
        <v>1944</v>
      </c>
      <c r="Z179" s="3" t="s">
        <v>561</v>
      </c>
      <c r="AA179" s="2" t="s">
        <v>1945</v>
      </c>
    </row>
    <row r="180" customFormat="false" ht="99.75" hidden="false" customHeight="true" outlineLevel="0" collapsed="false">
      <c r="A180" s="2"/>
      <c r="B180" s="2" t="s">
        <v>1946</v>
      </c>
      <c r="C180" s="2" t="s">
        <v>1414</v>
      </c>
      <c r="D180" s="2"/>
      <c r="E180" s="2" t="s">
        <v>56</v>
      </c>
      <c r="F180" s="2" t="s">
        <v>29</v>
      </c>
      <c r="G180" s="2" t="s">
        <v>30</v>
      </c>
      <c r="H180" s="2" t="s">
        <v>30</v>
      </c>
      <c r="I180" s="2" t="s">
        <v>1638</v>
      </c>
      <c r="J180" s="2" t="s">
        <v>1947</v>
      </c>
      <c r="K180" s="2" t="s">
        <v>483</v>
      </c>
      <c r="L180" s="2" t="s">
        <v>1594</v>
      </c>
      <c r="M180" s="2" t="s">
        <v>1948</v>
      </c>
      <c r="N180" s="3" t="s">
        <v>1949</v>
      </c>
      <c r="O180" s="3" t="s">
        <v>1950</v>
      </c>
      <c r="P180" s="2"/>
      <c r="Q180" s="2"/>
      <c r="R180" s="3"/>
      <c r="S180" s="3" t="s">
        <v>1951</v>
      </c>
      <c r="T180" s="3" t="s">
        <v>1952</v>
      </c>
      <c r="U180" s="3" t="s">
        <v>1953</v>
      </c>
      <c r="V180" s="3" t="s">
        <v>1954</v>
      </c>
      <c r="W180" s="3"/>
      <c r="X180" s="2"/>
      <c r="Y180" s="2" t="s">
        <v>1955</v>
      </c>
      <c r="Z180" s="3" t="s">
        <v>1956</v>
      </c>
      <c r="AA180" s="2" t="s">
        <v>1957</v>
      </c>
    </row>
    <row r="181" customFormat="false" ht="99.75" hidden="false" customHeight="true" outlineLevel="0" collapsed="false">
      <c r="A181" s="2"/>
      <c r="B181" s="2" t="s">
        <v>1590</v>
      </c>
      <c r="C181" s="2"/>
      <c r="D181" s="2"/>
      <c r="E181" s="2" t="s">
        <v>56</v>
      </c>
      <c r="F181" s="2" t="s">
        <v>29</v>
      </c>
      <c r="G181" s="2" t="s">
        <v>30</v>
      </c>
      <c r="H181" s="2" t="s">
        <v>30</v>
      </c>
      <c r="I181" s="2" t="s">
        <v>88</v>
      </c>
      <c r="J181" s="2" t="s">
        <v>410</v>
      </c>
      <c r="K181" s="2" t="s">
        <v>1593</v>
      </c>
      <c r="L181" s="2" t="s">
        <v>1594</v>
      </c>
      <c r="M181" s="2" t="s">
        <v>1595</v>
      </c>
      <c r="N181" s="3" t="s">
        <v>1593</v>
      </c>
      <c r="O181" s="3" t="s">
        <v>36</v>
      </c>
      <c r="P181" s="2"/>
      <c r="Q181" s="2"/>
      <c r="R181" s="3"/>
      <c r="S181" s="3" t="s">
        <v>1596</v>
      </c>
      <c r="T181" s="3" t="s">
        <v>1597</v>
      </c>
      <c r="U181" s="3" t="s">
        <v>1598</v>
      </c>
      <c r="V181" s="3" t="s">
        <v>1599</v>
      </c>
      <c r="W181" s="3" t="s">
        <v>1600</v>
      </c>
      <c r="X181" s="2"/>
      <c r="Y181" s="2" t="s">
        <v>1601</v>
      </c>
      <c r="Z181" s="3"/>
      <c r="AA181" s="2" t="s">
        <v>1958</v>
      </c>
    </row>
    <row r="182" customFormat="false" ht="75" hidden="false" customHeight="true" outlineLevel="0" collapsed="false">
      <c r="A182" s="2"/>
      <c r="B182" s="2" t="s">
        <v>1959</v>
      </c>
      <c r="C182" s="2" t="s">
        <v>1414</v>
      </c>
      <c r="D182" s="2" t="s">
        <v>1960</v>
      </c>
      <c r="E182" s="2" t="s">
        <v>28</v>
      </c>
      <c r="F182" s="2" t="s">
        <v>29</v>
      </c>
      <c r="G182" s="2" t="s">
        <v>30</v>
      </c>
      <c r="H182" s="2" t="s">
        <v>30</v>
      </c>
      <c r="I182" s="2" t="s">
        <v>763</v>
      </c>
      <c r="J182" s="2" t="s">
        <v>46</v>
      </c>
      <c r="K182" s="2" t="s">
        <v>674</v>
      </c>
      <c r="L182" s="2" t="s">
        <v>1594</v>
      </c>
      <c r="M182" s="2" t="s">
        <v>1483</v>
      </c>
      <c r="N182" s="3" t="s">
        <v>674</v>
      </c>
      <c r="O182" s="3" t="s">
        <v>1961</v>
      </c>
      <c r="P182" s="2" t="s">
        <v>1962</v>
      </c>
      <c r="Q182" s="2"/>
      <c r="R182" s="3"/>
      <c r="S182" s="3" t="s">
        <v>1963</v>
      </c>
      <c r="T182" s="3" t="s">
        <v>1964</v>
      </c>
      <c r="U182" s="3" t="s">
        <v>1965</v>
      </c>
      <c r="V182" s="3" t="s">
        <v>1966</v>
      </c>
      <c r="W182" s="3"/>
      <c r="X182" s="2"/>
      <c r="Y182" s="2" t="s">
        <v>1967</v>
      </c>
      <c r="Z182" s="3" t="s">
        <v>1968</v>
      </c>
      <c r="AA182" s="2" t="s">
        <v>1969</v>
      </c>
    </row>
    <row r="183" customFormat="false" ht="75" hidden="false" customHeight="true" outlineLevel="0" collapsed="false">
      <c r="A183" s="2"/>
      <c r="B183" s="2" t="s">
        <v>1970</v>
      </c>
      <c r="C183" s="2"/>
      <c r="D183" s="2"/>
      <c r="E183" s="2" t="s">
        <v>56</v>
      </c>
      <c r="F183" s="2" t="s">
        <v>177</v>
      </c>
      <c r="G183" s="2" t="s">
        <v>30</v>
      </c>
      <c r="H183" s="2" t="s">
        <v>30</v>
      </c>
      <c r="I183" s="2" t="s">
        <v>553</v>
      </c>
      <c r="J183" s="2" t="s">
        <v>1971</v>
      </c>
      <c r="K183" s="2" t="s">
        <v>625</v>
      </c>
      <c r="L183" s="2" t="s">
        <v>625</v>
      </c>
      <c r="M183" s="2" t="s">
        <v>626</v>
      </c>
      <c r="N183" s="3" t="s">
        <v>1972</v>
      </c>
      <c r="O183" s="3" t="s">
        <v>1973</v>
      </c>
      <c r="P183" s="2" t="s">
        <v>1672</v>
      </c>
      <c r="Q183" s="2"/>
      <c r="R183" s="3" t="s">
        <v>1622</v>
      </c>
      <c r="S183" s="3" t="s">
        <v>1974</v>
      </c>
      <c r="T183" s="3" t="s">
        <v>1975</v>
      </c>
      <c r="U183" s="3" t="s">
        <v>1976</v>
      </c>
      <c r="V183" s="3" t="s">
        <v>1977</v>
      </c>
      <c r="W183" s="3"/>
      <c r="X183" s="2"/>
      <c r="Y183" s="2" t="s">
        <v>1978</v>
      </c>
      <c r="Z183" s="3"/>
      <c r="AA183" s="2" t="s">
        <v>1979</v>
      </c>
    </row>
    <row r="184" customFormat="false" ht="112.5" hidden="false" customHeight="true" outlineLevel="0" collapsed="false">
      <c r="A184" s="2"/>
      <c r="B184" s="2" t="s">
        <v>1980</v>
      </c>
      <c r="C184" s="2"/>
      <c r="D184" s="2"/>
      <c r="E184" s="2" t="s">
        <v>56</v>
      </c>
      <c r="F184" s="2" t="s">
        <v>57</v>
      </c>
      <c r="G184" s="2" t="s">
        <v>30</v>
      </c>
      <c r="H184" s="2" t="s">
        <v>30</v>
      </c>
      <c r="I184" s="2" t="s">
        <v>1669</v>
      </c>
      <c r="J184" s="2" t="s">
        <v>1670</v>
      </c>
      <c r="K184" s="2" t="s">
        <v>952</v>
      </c>
      <c r="L184" s="2" t="s">
        <v>1981</v>
      </c>
      <c r="M184" s="2" t="s">
        <v>194</v>
      </c>
      <c r="N184" s="3" t="s">
        <v>1982</v>
      </c>
      <c r="O184" s="3" t="s">
        <v>297</v>
      </c>
      <c r="P184" s="2"/>
      <c r="Q184" s="2"/>
      <c r="R184" s="3"/>
      <c r="S184" s="3" t="s">
        <v>1983</v>
      </c>
      <c r="T184" s="3" t="s">
        <v>1984</v>
      </c>
      <c r="U184" s="3" t="s">
        <v>1985</v>
      </c>
      <c r="V184" s="3" t="s">
        <v>1986</v>
      </c>
      <c r="W184" s="3"/>
      <c r="X184" s="2"/>
      <c r="Y184" s="2" t="s">
        <v>1987</v>
      </c>
      <c r="Z184" s="3" t="s">
        <v>1988</v>
      </c>
      <c r="AA184" s="2" t="s">
        <v>1989</v>
      </c>
    </row>
    <row r="185" customFormat="false" ht="137.25" hidden="false" customHeight="true" outlineLevel="0" collapsed="false">
      <c r="A185" s="2"/>
      <c r="B185" s="2" t="s">
        <v>1990</v>
      </c>
      <c r="C185" s="2"/>
      <c r="D185" s="2"/>
      <c r="E185" s="2" t="s">
        <v>56</v>
      </c>
      <c r="F185" s="2" t="s">
        <v>29</v>
      </c>
      <c r="G185" s="2" t="s">
        <v>30</v>
      </c>
      <c r="H185" s="2" t="s">
        <v>30</v>
      </c>
      <c r="I185" s="2" t="s">
        <v>1991</v>
      </c>
      <c r="J185" s="2" t="s">
        <v>1947</v>
      </c>
      <c r="K185" s="2" t="s">
        <v>354</v>
      </c>
      <c r="L185" s="2" t="s">
        <v>355</v>
      </c>
      <c r="M185" s="2"/>
      <c r="N185" s="3" t="s">
        <v>1992</v>
      </c>
      <c r="O185" s="3" t="s">
        <v>36</v>
      </c>
      <c r="P185" s="2"/>
      <c r="Q185" s="2"/>
      <c r="R185" s="3" t="s">
        <v>1845</v>
      </c>
      <c r="S185" s="3" t="s">
        <v>1993</v>
      </c>
      <c r="T185" s="3" t="s">
        <v>1994</v>
      </c>
      <c r="U185" s="3" t="s">
        <v>1995</v>
      </c>
      <c r="V185" s="3" t="s">
        <v>1849</v>
      </c>
      <c r="W185" s="3"/>
      <c r="X185" s="2"/>
      <c r="Y185" s="2" t="s">
        <v>1996</v>
      </c>
      <c r="Z185" s="3" t="s">
        <v>1851</v>
      </c>
      <c r="AA185" s="2" t="s">
        <v>1997</v>
      </c>
    </row>
  </sheetData>
  <autoFilter ref="A1:AA1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4" min="4" style="0" width="26"/>
    <col collapsed="false" customWidth="true" hidden="false" outlineLevel="0" max="5" min="5" style="0" width="12"/>
  </cols>
  <sheetData>
    <row r="1" customFormat="false" ht="17.35" hidden="false" customHeight="false" outlineLevel="0" collapsed="false">
      <c r="A1" s="4" t="s">
        <v>1998</v>
      </c>
    </row>
    <row r="2" customFormat="false" ht="15" hidden="false" customHeight="false" outlineLevel="0" collapsed="false">
      <c r="A2" s="5" t="s">
        <v>1999</v>
      </c>
    </row>
    <row r="4" customFormat="false" ht="15" hidden="false" customHeight="false" outlineLevel="0" collapsed="false">
      <c r="A4" s="6" t="s">
        <v>2000</v>
      </c>
      <c r="B4" s="7" t="n">
        <f aca="false">COUNTA('All Events'!B2:B185)</f>
        <v>184</v>
      </c>
      <c r="D4" s="8" t="s">
        <v>2001</v>
      </c>
      <c r="E4" s="9"/>
    </row>
    <row r="5" customFormat="false" ht="15" hidden="false" customHeight="false" outlineLevel="0" collapsed="false">
      <c r="D5" s="10" t="s">
        <v>1402</v>
      </c>
      <c r="E5" s="11" t="n">
        <f aca="false">COUNTIF('All Events'!C2:C185,"Booked")</f>
        <v>4</v>
      </c>
    </row>
    <row r="6" customFormat="false" ht="15" hidden="false" customHeight="false" outlineLevel="0" collapsed="false">
      <c r="A6" s="8" t="s">
        <v>2002</v>
      </c>
      <c r="B6" s="9"/>
      <c r="D6" s="10" t="s">
        <v>1414</v>
      </c>
      <c r="E6" s="11" t="n">
        <f aca="false">COUNTIF('All Events'!C2:C185,"Attending")</f>
        <v>10</v>
      </c>
    </row>
    <row r="7" customFormat="false" ht="15" hidden="false" customHeight="false" outlineLevel="0" collapsed="false">
      <c r="A7" s="10" t="s">
        <v>28</v>
      </c>
      <c r="B7" s="11" t="n">
        <f aca="false">COUNTIF('All Events'!E2:E185,"High")</f>
        <v>87</v>
      </c>
      <c r="D7" s="10" t="s">
        <v>86</v>
      </c>
      <c r="E7" s="11" t="n">
        <f aca="false">COUNTIF('All Events'!C2:C185,"Submitted")</f>
        <v>21</v>
      </c>
    </row>
    <row r="8" customFormat="false" ht="15" hidden="false" customHeight="false" outlineLevel="0" collapsed="false">
      <c r="A8" s="10" t="s">
        <v>56</v>
      </c>
      <c r="B8" s="11" t="n">
        <f aca="false">COUNTIF('All Events'!E2:E185,"Medium")</f>
        <v>87</v>
      </c>
      <c r="D8" s="10" t="s">
        <v>1703</v>
      </c>
      <c r="E8" s="11" t="n">
        <f aca="false">COUNTIF('All Events'!C2:C185,"Registered")</f>
        <v>1</v>
      </c>
    </row>
    <row r="9" customFormat="false" ht="15" hidden="false" customHeight="false" outlineLevel="0" collapsed="false">
      <c r="A9" s="10" t="s">
        <v>253</v>
      </c>
      <c r="B9" s="11" t="n">
        <f aca="false">COUNTIF('All Events'!E2:E185,"Low")</f>
        <v>10</v>
      </c>
      <c r="D9" s="10" t="s">
        <v>1451</v>
      </c>
      <c r="E9" s="11" t="n">
        <f aca="false">COUNTIF('All Events'!C2:C185,"In progress")</f>
        <v>2</v>
      </c>
    </row>
    <row r="10" customFormat="false" ht="15" hidden="false" customHeight="false" outlineLevel="0" collapsed="false">
      <c r="D10" s="10" t="s">
        <v>2003</v>
      </c>
      <c r="E10" s="11" t="n">
        <f aca="false">COUNTIF('All Events'!C2:C185,"Inbound (organizer)")</f>
        <v>0</v>
      </c>
    </row>
    <row r="11" customFormat="false" ht="15" hidden="false" customHeight="false" outlineLevel="0" collapsed="false">
      <c r="A11" s="8" t="s">
        <v>2004</v>
      </c>
      <c r="B11" s="9"/>
      <c r="D11" s="10" t="s">
        <v>1636</v>
      </c>
      <c r="E11" s="11" t="n">
        <f aca="false">COUNTIF('All Events'!C2:C185,"Recommended")</f>
        <v>1</v>
      </c>
    </row>
    <row r="12" customFormat="false" ht="15" hidden="false" customHeight="false" outlineLevel="0" collapsed="false">
      <c r="A12" s="10" t="s">
        <v>2005</v>
      </c>
      <c r="B12" s="11" t="n">
        <f aca="false">COUNTIF('All Events'!F2:F185,"No")</f>
        <v>48</v>
      </c>
      <c r="D12" s="10" t="s">
        <v>550</v>
      </c>
      <c r="E12" s="11" t="n">
        <f aca="false">COUNTIF('All Events'!C2:C185,"On list")</f>
        <v>11</v>
      </c>
    </row>
    <row r="13" customFormat="false" ht="15" hidden="false" customHeight="false" outlineLevel="0" collapsed="false">
      <c r="A13" s="10" t="s">
        <v>57</v>
      </c>
      <c r="B13" s="11" t="n">
        <f aca="false">COUNTIF('All Events'!F2:F185,"Yes")</f>
        <v>47</v>
      </c>
      <c r="D13" s="10" t="s">
        <v>2006</v>
      </c>
      <c r="E13" s="11" t="n">
        <f aca="false">COUNTIF('All Events'!C2:C185,"Passed")</f>
        <v>0</v>
      </c>
    </row>
    <row r="14" customFormat="false" ht="15" hidden="false" customHeight="false" outlineLevel="0" collapsed="false">
      <c r="A14" s="10" t="s">
        <v>177</v>
      </c>
      <c r="B14" s="11" t="n">
        <f aca="false">COUNTIF('All Events'!F2:F185,"Both")</f>
        <v>17</v>
      </c>
      <c r="D14" s="10" t="s">
        <v>1076</v>
      </c>
      <c r="E14" s="11" t="n">
        <f aca="false">COUNTIF('All Events'!C2:C185,"Past event")</f>
        <v>13</v>
      </c>
    </row>
    <row r="15" customFormat="false" ht="15" hidden="false" customHeight="false" outlineLevel="0" collapsed="false">
      <c r="A15" s="10" t="s">
        <v>29</v>
      </c>
      <c r="B15" s="11" t="n">
        <f aca="false">COUNTIF('All Events'!F2:F185,"Unknown")</f>
        <v>72</v>
      </c>
      <c r="D15" s="10" t="s">
        <v>2007</v>
      </c>
      <c r="E15" s="11" t="n">
        <f aca="false">COUNTIF('All Events'!C2:C185,"")</f>
        <v>121</v>
      </c>
    </row>
    <row r="17" customFormat="false" ht="15" hidden="false" customHeight="false" outlineLevel="0" collapsed="false">
      <c r="A17" s="8" t="s">
        <v>2008</v>
      </c>
      <c r="B17" s="9"/>
    </row>
    <row r="18" customFormat="false" ht="15" hidden="false" customHeight="false" outlineLevel="0" collapsed="false">
      <c r="A18" s="10" t="s">
        <v>2009</v>
      </c>
      <c r="B18" s="11" t="n">
        <f aca="false">COUNTIF('All Events'!G2:G185,"Yes")</f>
        <v>4</v>
      </c>
    </row>
    <row r="19" customFormat="false" ht="15" hidden="false" customHeight="false" outlineLevel="0" collapsed="false">
      <c r="A19" s="10" t="s">
        <v>2010</v>
      </c>
      <c r="B19" s="11" t="n">
        <f aca="false">COUNTIF('All Events'!H2:H185,"Yes")</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2026-06-01T22:17:02Z</dcterms:created>
  <dc:creator>openpyxl</dc:creator>
  <dc:description/>
  <dc:language>en-US</dc:language>
  <cp:lastModifiedBy/>
  <dcterms:modified xsi:type="dcterms:W3CDTF">2026-06-01T22:17:02Z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